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_Data" sheetId="1" r:id="rId5"/>
    <sheet state="visible" name="Calc_Data" sheetId="2" r:id="rId6"/>
    <sheet state="visible" name="Dashboard" sheetId="3" r:id="rId7"/>
    <sheet state="visible" name="Sales_Orders" sheetId="4" r:id="rId8"/>
    <sheet state="visible" name="Suppliers_Data" sheetId="5" r:id="rId9"/>
  </sheets>
  <definedNames>
    <definedName hidden="1" localSheetId="0" name="_xlnm._FilterDatabase">Inventory_Data!$A$1:$K$35</definedName>
  </definedNames>
  <calcPr/>
</workbook>
</file>

<file path=xl/sharedStrings.xml><?xml version="1.0" encoding="utf-8"?>
<sst xmlns="http://schemas.openxmlformats.org/spreadsheetml/2006/main" count="392" uniqueCount="229">
  <si>
    <t>SKU</t>
  </si>
  <si>
    <t>Metric</t>
  </si>
  <si>
    <t>Product Name</t>
  </si>
  <si>
    <t>Category</t>
  </si>
  <si>
    <t>Unit Cost</t>
  </si>
  <si>
    <t>Retail Price</t>
  </si>
  <si>
    <t>Stock Units</t>
  </si>
  <si>
    <t>Reorder Level</t>
  </si>
  <si>
    <t>Value</t>
  </si>
  <si>
    <t>Units On Order</t>
  </si>
  <si>
    <t>Total Inventory Value</t>
  </si>
  <si>
    <t>Order ID</t>
  </si>
  <si>
    <t>Total Value</t>
  </si>
  <si>
    <t>Margin %</t>
  </si>
  <si>
    <t>Restock Status</t>
  </si>
  <si>
    <t>Total Units</t>
  </si>
  <si>
    <t>Date</t>
  </si>
  <si>
    <t>Avg Margin %</t>
  </si>
  <si>
    <t>SKU-1001</t>
  </si>
  <si>
    <t>Sales Revenue</t>
  </si>
  <si>
    <t>Wireless Noise-Canceling Headphones</t>
  </si>
  <si>
    <t>Electronics</t>
  </si>
  <si>
    <t>Selected Category</t>
  </si>
  <si>
    <t>Channel</t>
  </si>
  <si>
    <t>Units Sold</t>
  </si>
  <si>
    <t>Unit Price</t>
  </si>
  <si>
    <t>Revenue</t>
  </si>
  <si>
    <t>COGS</t>
  </si>
  <si>
    <t>Gross Profit</t>
  </si>
  <si>
    <t>ORD-2026-001</t>
  </si>
  <si>
    <t>Product Display</t>
  </si>
  <si>
    <t>Units Sold (Velocity)</t>
  </si>
  <si>
    <t>Executive Metric</t>
  </si>
  <si>
    <t>Notes / Reference</t>
  </si>
  <si>
    <t>Channel Revenue</t>
  </si>
  <si>
    <t>Channel Profit</t>
  </si>
  <si>
    <t>Channel Units</t>
  </si>
  <si>
    <t>SKU-1002</t>
  </si>
  <si>
    <t>Mechanical Gaming Keyboard</t>
  </si>
  <si>
    <t>SKU-1003</t>
  </si>
  <si>
    <t>Ergonomic Office Chair</t>
  </si>
  <si>
    <t>Furniture</t>
  </si>
  <si>
    <t>SKU-1004</t>
  </si>
  <si>
    <t>Motorized Standing Desk</t>
  </si>
  <si>
    <t>Online Store</t>
  </si>
  <si>
    <t>SKU-1005</t>
  </si>
  <si>
    <t>Organic Cotton T-Shirt</t>
  </si>
  <si>
    <t>Apparel</t>
  </si>
  <si>
    <t>SKU-1006</t>
  </si>
  <si>
    <t>Waterproof Trail Jacket</t>
  </si>
  <si>
    <t>SKU-1007</t>
  </si>
  <si>
    <t>Ceramic Pour-Over Coffee Maker</t>
  </si>
  <si>
    <t>Kitchenware</t>
  </si>
  <si>
    <t>SKU-1008</t>
  </si>
  <si>
    <t>Cast Iron Skillet 12-inch</t>
  </si>
  <si>
    <t>SKU-1009</t>
  </si>
  <si>
    <t>Smart Fitness Tracker Watch</t>
  </si>
  <si>
    <t>Filtered Inventory Value</t>
  </si>
  <si>
    <t>SKU-1010</t>
  </si>
  <si>
    <t>Ultra-Fast USB-C Charging Hub</t>
  </si>
  <si>
    <t>SKU-1011</t>
  </si>
  <si>
    <t>Solid Oak Bookshelf 5-Tier</t>
  </si>
  <si>
    <t>SKU-1012</t>
  </si>
  <si>
    <t>Modern Minimalist Desk Lamp</t>
  </si>
  <si>
    <t>ORD-2026-002</t>
  </si>
  <si>
    <t>SKU-1013</t>
  </si>
  <si>
    <t>Athletic Running Shoes</t>
  </si>
  <si>
    <t>SKU-1014</t>
  </si>
  <si>
    <t>Merino Wool Winter Beanie</t>
  </si>
  <si>
    <t>SKU-1015</t>
  </si>
  <si>
    <t>Chef Japanese Santoku Knife</t>
  </si>
  <si>
    <t>SKU-1016</t>
  </si>
  <si>
    <t>Silicone Kitchen Utensil Set</t>
  </si>
  <si>
    <t>Marketplace</t>
  </si>
  <si>
    <t>SKU-1017</t>
  </si>
  <si>
    <t>4K Ultra HD Action Camera</t>
  </si>
  <si>
    <t>SKU-1018</t>
  </si>
  <si>
    <t>True Wireless Sport Earbuds</t>
  </si>
  <si>
    <t>SKU-1019</t>
  </si>
  <si>
    <t>Adjustable Laptop Riser</t>
  </si>
  <si>
    <t>ORD-2026-003</t>
  </si>
  <si>
    <t>SKU-1020</t>
  </si>
  <si>
    <t>Breathable Yoga Pants</t>
  </si>
  <si>
    <t>SKU-1021</t>
  </si>
  <si>
    <t>Insulated Stainless Tumbler 32oz</t>
  </si>
  <si>
    <t>Direct B2B</t>
  </si>
  <si>
    <t>SKU-1022</t>
  </si>
  <si>
    <t>Premium French Press Maker</t>
  </si>
  <si>
    <t>SKU-1023</t>
  </si>
  <si>
    <t>Compact Bluetooth Speaker</t>
  </si>
  <si>
    <t>SKU-1024</t>
  </si>
  <si>
    <t>Velvet Accent Living Chair</t>
  </si>
  <si>
    <t>ORD-2026-004</t>
  </si>
  <si>
    <t>SKU-1025</t>
  </si>
  <si>
    <t>Ergonomic Mouse &amp; Mousepad Set</t>
  </si>
  <si>
    <t>Total Revenue</t>
  </si>
  <si>
    <t>SKU-1026</t>
  </si>
  <si>
    <t>Dual Monitor Adjustable Arm</t>
  </si>
  <si>
    <t>SKU-1027</t>
  </si>
  <si>
    <t>Bamboo Memory Foam Pillow</t>
  </si>
  <si>
    <t>Gross Sales</t>
  </si>
  <si>
    <t>SKU-1028</t>
  </si>
  <si>
    <t>Breathable Running Shorts</t>
  </si>
  <si>
    <t>ORD-2026-005</t>
  </si>
  <si>
    <t>SKU-1029</t>
  </si>
  <si>
    <t>Thermal Compression Base Layer</t>
  </si>
  <si>
    <t>SKU-1030</t>
  </si>
  <si>
    <t>Stainless Steel Chef Cookware Set</t>
  </si>
  <si>
    <t>SKU-1031</t>
  </si>
  <si>
    <t>Electric Milk Frother &amp; Whisk</t>
  </si>
  <si>
    <t>SKU-1032</t>
  </si>
  <si>
    <t>4K Ultra HD Webcam with Mic</t>
  </si>
  <si>
    <t>SKU-1033</t>
  </si>
  <si>
    <t>RGB Ambient Desk Light Bar</t>
  </si>
  <si>
    <t>ORD-2026-006</t>
  </si>
  <si>
    <t>SKU-1034</t>
  </si>
  <si>
    <t>Air Fryer Heat Resistant Mat Set</t>
  </si>
  <si>
    <t>Total Units in Stock</t>
  </si>
  <si>
    <t>ORD-2026-007</t>
  </si>
  <si>
    <t>Retail Partner</t>
  </si>
  <si>
    <t>ORD-2026-008</t>
  </si>
  <si>
    <t>Filtered Stock Units</t>
  </si>
  <si>
    <t>ORD-2026-009</t>
  </si>
  <si>
    <t>ORD-2026-010</t>
  </si>
  <si>
    <t>Total COGS</t>
  </si>
  <si>
    <t>ORD-2026-011</t>
  </si>
  <si>
    <t>Cost of Goods</t>
  </si>
  <si>
    <t>ORD-2026-012</t>
  </si>
  <si>
    <t>Low Stock Items</t>
  </si>
  <si>
    <t>ORD-2026-013</t>
  </si>
  <si>
    <t>Filtered Low Stock Items</t>
  </si>
  <si>
    <t>ORD-2026-014</t>
  </si>
  <si>
    <t>ORD-2026-015</t>
  </si>
  <si>
    <t>Supplier ID</t>
  </si>
  <si>
    <t>Supplier Name</t>
  </si>
  <si>
    <t>Lead Time Days</t>
  </si>
  <si>
    <t>On-Time Delivery %</t>
  </si>
  <si>
    <t>Reliability Rating</t>
  </si>
  <si>
    <t>Active Orders</t>
  </si>
  <si>
    <t>Total Spend</t>
  </si>
  <si>
    <t>Net Earnings</t>
  </si>
  <si>
    <t>SUP-101</t>
  </si>
  <si>
    <t>Apex Components Co.</t>
  </si>
  <si>
    <t>SUP-102</t>
  </si>
  <si>
    <t>Nordic Timber &amp; Metal</t>
  </si>
  <si>
    <t>SUP-103</t>
  </si>
  <si>
    <t>EcoWeave Textiles Ltd.</t>
  </si>
  <si>
    <t>SUP-104</t>
  </si>
  <si>
    <t>Precision Steelworks</t>
  </si>
  <si>
    <t>SUP-105</t>
  </si>
  <si>
    <t>Silicon Logic Devices</t>
  </si>
  <si>
    <t>ORD-2026-016</t>
  </si>
  <si>
    <t>SUP-106</t>
  </si>
  <si>
    <t>ComfortCraft Studio</t>
  </si>
  <si>
    <t>SUP-107</t>
  </si>
  <si>
    <t>Summit Activewear Mills</t>
  </si>
  <si>
    <t>SUP-108</t>
  </si>
  <si>
    <t>Artisan Culinary Supply</t>
  </si>
  <si>
    <t>TOTAL / AVERAGE</t>
  </si>
  <si>
    <t>Average Margin</t>
  </si>
  <si>
    <t>-</t>
  </si>
  <si>
    <t>ORD-2026-017</t>
  </si>
  <si>
    <t>Filtered Avg Margin</t>
  </si>
  <si>
    <t>ORD-2026-018</t>
  </si>
  <si>
    <t>ORD-2026-019</t>
  </si>
  <si>
    <t>Gross Profit %</t>
  </si>
  <si>
    <t>Margin Rate</t>
  </si>
  <si>
    <t>ORD-2026-020</t>
  </si>
  <si>
    <t>Total SKUs</t>
  </si>
  <si>
    <t>Filtered SKU Count</t>
  </si>
  <si>
    <t>ORD-2026-021</t>
  </si>
  <si>
    <t>ORD-2026-022</t>
  </si>
  <si>
    <t>Total Units Sold</t>
  </si>
  <si>
    <t>Volume Sold</t>
  </si>
  <si>
    <t>Total Units On Order</t>
  </si>
  <si>
    <t>Filtered Sales Revenue</t>
  </si>
  <si>
    <t>ORD-2026-023</t>
  </si>
  <si>
    <t>ORD-2026-024</t>
  </si>
  <si>
    <t>Avg Order Value</t>
  </si>
  <si>
    <t>AOV</t>
  </si>
  <si>
    <t>Filtered Gross Profit</t>
  </si>
  <si>
    <t>ORD-2026-025</t>
  </si>
  <si>
    <t>ORD-2026-026</t>
  </si>
  <si>
    <t>Supplier Fulfillment Rate</t>
  </si>
  <si>
    <t>On-Time %</t>
  </si>
  <si>
    <t>Filtered Gross Profit %</t>
  </si>
  <si>
    <t>ORD-2026-027</t>
  </si>
  <si>
    <t>ORD-2026-028</t>
  </si>
  <si>
    <t>Active Supplier Orders</t>
  </si>
  <si>
    <t>In Procurement</t>
  </si>
  <si>
    <t>Filtered Units Sold</t>
  </si>
  <si>
    <t>ORD-2026-029</t>
  </si>
  <si>
    <t>ORD-2026-030</t>
  </si>
  <si>
    <t>Total Supplier Spend</t>
  </si>
  <si>
    <t>Procurement Spend</t>
  </si>
  <si>
    <t>ORD-2026-031</t>
  </si>
  <si>
    <t>Category Revenue</t>
  </si>
  <si>
    <t>Category COGS</t>
  </si>
  <si>
    <t>ORD-2026-032</t>
  </si>
  <si>
    <t>Category Profit</t>
  </si>
  <si>
    <t>Category Margin %</t>
  </si>
  <si>
    <t>ORD-2026-033</t>
  </si>
  <si>
    <t>ORD-2026-034</t>
  </si>
  <si>
    <t>Total</t>
  </si>
  <si>
    <t>3D INTERACTIVE DATA ANALYTICS &amp; OPERATIONS DASHBOARD</t>
  </si>
  <si>
    <t>Real-Time Multi-Dimensional Analytics across Sales, Inventory Valuation &amp; Supplier Reliability</t>
  </si>
  <si>
    <t>FILTER BY CATEGORY:</t>
  </si>
  <si>
    <t>TOP REVENUE PRODUCTS</t>
  </si>
  <si>
    <t>Performance</t>
  </si>
  <si>
    <t>Wireless Headphones</t>
  </si>
  <si>
    <t>High Performer</t>
  </si>
  <si>
    <t>4K Action Camera</t>
  </si>
  <si>
    <t>Steady Growth</t>
  </si>
  <si>
    <t>Solid Oak Bookshelf</t>
  </si>
  <si>
    <t>SUPPLIER PERFORMANCE SCORECARD</t>
  </si>
  <si>
    <t>Lead Time</t>
  </si>
  <si>
    <t>Rating</t>
  </si>
  <si>
    <t>Fulfillment Status</t>
  </si>
  <si>
    <t>7 days</t>
  </si>
  <si>
    <t>4.8 / 5.0</t>
  </si>
  <si>
    <t>Preferred Vendor</t>
  </si>
  <si>
    <t>9 days</t>
  </si>
  <si>
    <t>4.9 / 5.0</t>
  </si>
  <si>
    <t>8 days</t>
  </si>
  <si>
    <t>6 days</t>
  </si>
  <si>
    <t>4.7 / 5.0</t>
  </si>
  <si>
    <t>11 days</t>
  </si>
  <si>
    <t>4.6 / 5.0</t>
  </si>
  <si>
    <t>Standard Vendor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</si>
</sst>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.00"/>
    <numFmt numFmtId="165" formatCode="yyyy-mm-dd"/>
    <numFmt numFmtId="166" formatCode="0.0%"/>
    <numFmt numFmtId="167" formatCode="0.0"/>
  </numFmts>
  <fonts count="22">
    <font>
      <sz val="10.0"/>
      <color rgb="FF000000"/>
      <name val="Arial"/>
      <scheme val="minor"/>
    </font>
    <font>
      <b/>
      <sz val="10.0"/>
      <color rgb="FFFFFFFF"/>
      <name val="Roboto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6.0"/>
      <color rgb="FF192638"/>
      <name val="Roboto"/>
    </font>
    <font>
      <i/>
      <sz val="10.0"/>
      <color rgb="FF596B84"/>
      <name val="Roboto"/>
    </font>
    <font>
      <b/>
      <sz val="10.0"/>
      <color rgb="FF192638"/>
      <name val="Roboto"/>
    </font>
    <font>
      <b/>
      <sz val="10.0"/>
      <color rgb="FF2D3D66"/>
      <name val="Roboto"/>
    </font>
    <font>
      <sz val="10.0"/>
      <color theme="1"/>
      <name val="Arial"/>
      <scheme val="minor"/>
    </font>
    <font>
      <b/>
      <sz val="11.0"/>
      <color rgb="FFFFFFFF"/>
      <name val="Roboto"/>
    </font>
    <font>
      <b/>
      <sz val="14.0"/>
      <color rgb="FF4A5C92"/>
      <name val="Roboto"/>
    </font>
    <font>
      <sz val="10.0"/>
      <color rgb="FF262633"/>
      <name val="Roboto"/>
    </font>
    <font>
      <b/>
      <color rgb="FF145623"/>
      <name val="Arial"/>
      <scheme val="minor"/>
    </font>
    <font>
      <b/>
      <sz val="9.0"/>
      <color rgb="FF262633"/>
      <name val="Roboto"/>
    </font>
    <font>
      <i/>
      <sz val="9.0"/>
      <color rgb="FF4C5966"/>
      <name val="Roboto"/>
    </font>
    <font>
      <b/>
      <sz val="9.0"/>
      <color rgb="FF334C7F"/>
      <name val="Roboto"/>
    </font>
    <font>
      <b/>
      <color rgb="FF003F84"/>
      <name val="Arial"/>
      <scheme val="minor"/>
    </font>
    <font>
      <sz val="9.0"/>
      <color rgb="FF262633"/>
      <name val="Roboto"/>
    </font>
    <font>
      <b/>
      <sz val="9.0"/>
      <color rgb="FF2D3859"/>
      <name val="Roboto"/>
    </font>
    <font>
      <i/>
      <sz val="9.0"/>
      <color rgb="FF4C5972"/>
      <name val="Roboto"/>
    </font>
    <font>
      <b/>
      <color rgb="FF846305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4B5C92"/>
        <bgColor rgb="FF4B5C92"/>
      </patternFill>
    </fill>
    <fill>
      <patternFill patternType="solid">
        <fgColor rgb="FFEDEFF7"/>
        <bgColor rgb="FFEDEFF7"/>
      </patternFill>
    </fill>
    <fill>
      <patternFill patternType="solid">
        <fgColor rgb="FFE8EDF9"/>
        <bgColor rgb="FFE8EDF9"/>
      </patternFill>
    </fill>
    <fill>
      <patternFill patternType="solid">
        <fgColor rgb="FFFFFFFF"/>
        <bgColor rgb="FFFFFFFF"/>
      </patternFill>
    </fill>
    <fill>
      <patternFill patternType="solid">
        <fgColor rgb="FF2D3D4F"/>
        <bgColor rgb="FF2D3D4F"/>
      </patternFill>
    </fill>
    <fill>
      <patternFill patternType="solid">
        <fgColor rgb="FF4A5C92"/>
        <bgColor rgb="FF4A5C92"/>
      </patternFill>
    </fill>
    <fill>
      <patternFill patternType="solid">
        <fgColor rgb="FFD3EDD8"/>
        <bgColor rgb="FFD3EDD8"/>
      </patternFill>
    </fill>
    <fill>
      <patternFill patternType="solid">
        <fgColor rgb="FFF2F4F9"/>
        <bgColor rgb="FFF2F4F9"/>
      </patternFill>
    </fill>
    <fill>
      <patternFill patternType="solid">
        <fgColor rgb="FFCCE5FF"/>
        <bgColor rgb="FFCCE5FF"/>
      </patternFill>
    </fill>
    <fill>
      <patternFill patternType="solid">
        <fgColor rgb="FFF4F7FC"/>
        <bgColor rgb="FFF4F7F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right" readingOrder="0"/>
    </xf>
    <xf borderId="0" fillId="0" fontId="3" numFmtId="3" xfId="0" applyAlignment="1" applyFont="1" applyNumberFormat="1">
      <alignment horizontal="right" readingOrder="0"/>
    </xf>
    <xf borderId="0" fillId="0" fontId="3" numFmtId="165" xfId="0" applyAlignment="1" applyFont="1" applyNumberFormat="1">
      <alignment horizontal="center" readingOrder="0"/>
    </xf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2" fontId="1" numFmtId="0" xfId="0" applyAlignment="1" applyFill="1" applyFont="1">
      <alignment horizontal="center" readingOrder="0"/>
    </xf>
    <xf borderId="0" fillId="0" fontId="3" numFmtId="166" xfId="0" applyAlignment="1" applyFont="1" applyNumberFormat="1">
      <alignment horizontal="right"/>
    </xf>
    <xf borderId="0" fillId="0" fontId="3" numFmtId="0" xfId="0" applyAlignment="1" applyFont="1">
      <alignment horizontal="center"/>
    </xf>
    <xf borderId="0" fillId="0" fontId="3" numFmtId="164" xfId="0" applyFont="1" applyNumberFormat="1"/>
    <xf borderId="0" fillId="0" fontId="3" numFmtId="3" xfId="0" applyFont="1" applyNumberFormat="1"/>
    <xf borderId="0" fillId="0" fontId="3" numFmtId="166" xfId="0" applyFont="1" applyNumberFormat="1"/>
    <xf borderId="0" fillId="0" fontId="3" numFmtId="3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166" xfId="0" applyAlignment="1" applyFont="1" applyNumberFormat="1">
      <alignment horizontal="right" readingOrder="0"/>
    </xf>
    <xf borderId="0" fillId="0" fontId="3" numFmtId="167" xfId="0" applyAlignment="1" applyFont="1" applyNumberFormat="1">
      <alignment horizontal="right" readingOrder="0"/>
    </xf>
    <xf borderId="0" fillId="3" fontId="4" numFmtId="0" xfId="0" applyAlignment="1" applyFill="1" applyFont="1">
      <alignment readingOrder="0"/>
    </xf>
    <xf borderId="0" fillId="3" fontId="4" numFmtId="0" xfId="0" applyFill="1" applyFont="1"/>
    <xf borderId="0" fillId="3" fontId="4" numFmtId="166" xfId="0" applyAlignment="1" applyFill="1" applyFont="1" applyNumberFormat="1">
      <alignment horizontal="right"/>
    </xf>
    <xf borderId="0" fillId="3" fontId="4" numFmtId="167" xfId="0" applyAlignment="1" applyFill="1" applyFont="1" applyNumberFormat="1">
      <alignment horizontal="right"/>
    </xf>
    <xf borderId="0" fillId="3" fontId="4" numFmtId="164" xfId="0" applyAlignment="1" applyFill="1" applyFont="1" applyNumberFormat="1">
      <alignment horizontal="right"/>
    </xf>
    <xf borderId="0" fillId="0" fontId="3" numFmtId="167" xfId="0" applyAlignment="1" applyFont="1" applyNumberFormat="1">
      <alignment horizontal="right"/>
    </xf>
    <xf borderId="0" fillId="0" fontId="3" numFmtId="165" xfId="0" applyAlignment="1" applyFont="1" applyNumberFormat="1">
      <alignment horizontal="center"/>
    </xf>
    <xf borderId="0" fillId="0" fontId="3" numFmtId="3" xfId="0" applyAlignment="1" applyFont="1" applyNumberFormat="1">
      <alignment horizontal="right"/>
    </xf>
    <xf borderId="0" fillId="2" fontId="5" numFmtId="0" xfId="0" applyAlignment="1" applyFill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6" numFmtId="0" xfId="0" applyFont="1"/>
    <xf borderId="0" fillId="3" fontId="7" numFmtId="0" xfId="0" applyAlignment="1" applyFill="1" applyFont="1">
      <alignment horizontal="right" readingOrder="0" vertical="center"/>
    </xf>
    <xf borderId="0" fillId="4" fontId="8" numFmtId="0" xfId="0" applyAlignment="1" applyFill="1" applyFont="1">
      <alignment horizontal="center" readingOrder="0" vertical="center"/>
    </xf>
    <xf borderId="0" fillId="0" fontId="9" numFmtId="0" xfId="0" applyFont="1"/>
    <xf borderId="0" fillId="5" fontId="3" numFmtId="0" xfId="0" applyFill="1" applyFont="1"/>
    <xf borderId="0" fillId="6" fontId="10" numFmtId="0" xfId="0" applyAlignment="1" applyFill="1" applyFont="1">
      <alignment horizontal="center" readingOrder="0" vertical="center"/>
    </xf>
    <xf borderId="0" fillId="5" fontId="10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5" fontId="11" numFmtId="0" xfId="0" applyAlignment="1" applyFill="1" applyFont="1">
      <alignment horizontal="center" readingOrder="0" vertical="center"/>
    </xf>
    <xf borderId="0" fillId="7" fontId="12" numFmtId="0" xfId="0" applyAlignment="1" applyFill="1" applyFont="1">
      <alignment horizontal="center" readingOrder="0" vertical="center"/>
    </xf>
    <xf borderId="0" fillId="5" fontId="12" numFmtId="0" xfId="0" applyAlignment="1" applyFill="1" applyFont="1">
      <alignment horizontal="center" readingOrder="0" vertical="center"/>
    </xf>
    <xf borderId="0" fillId="7" fontId="12" numFmtId="3" xfId="0" applyAlignment="1" applyFill="1" applyFont="1" applyNumberFormat="1">
      <alignment horizontal="right" readingOrder="0" vertical="center"/>
    </xf>
    <xf borderId="0" fillId="7" fontId="12" numFmtId="164" xfId="0" applyAlignment="1" applyFill="1" applyFont="1" applyNumberFormat="1">
      <alignment horizontal="right" readingOrder="0" vertical="center"/>
    </xf>
    <xf borderId="0" fillId="0" fontId="12" numFmtId="166" xfId="0" applyAlignment="1" applyFont="1" applyNumberFormat="1">
      <alignment horizontal="right" readingOrder="0"/>
    </xf>
    <xf borderId="0" fillId="8" fontId="13" numFmtId="0" xfId="0" applyAlignment="1" applyFill="1" applyFont="1">
      <alignment horizontal="center" readingOrder="0"/>
    </xf>
    <xf borderId="0" fillId="5" fontId="14" numFmtId="0" xfId="0" applyAlignment="1" applyFill="1" applyFont="1">
      <alignment horizontal="center" readingOrder="0" vertical="center"/>
    </xf>
    <xf borderId="0" fillId="9" fontId="12" numFmtId="0" xfId="0" applyAlignment="1" applyFill="1" applyFont="1">
      <alignment horizontal="center" readingOrder="0" vertical="center"/>
    </xf>
    <xf borderId="0" fillId="9" fontId="12" numFmtId="3" xfId="0" applyAlignment="1" applyFill="1" applyFont="1" applyNumberFormat="1">
      <alignment horizontal="right" readingOrder="0" vertical="center"/>
    </xf>
    <xf borderId="0" fillId="9" fontId="12" numFmtId="164" xfId="0" applyAlignment="1" applyFill="1" applyFont="1" applyNumberFormat="1">
      <alignment horizontal="right" readingOrder="0" vertical="center"/>
    </xf>
    <xf borderId="0" fillId="5" fontId="15" numFmtId="0" xfId="0" applyAlignment="1" applyFill="1" applyFont="1">
      <alignment horizontal="center" readingOrder="0" vertical="center"/>
    </xf>
    <xf borderId="0" fillId="5" fontId="15" numFmtId="0" xfId="0" applyAlignment="1" applyFill="1" applyFont="1">
      <alignment horizontal="center" vertical="center"/>
    </xf>
    <xf borderId="0" fillId="5" fontId="12" numFmtId="3" xfId="0" applyAlignment="1" applyFill="1" applyFont="1" applyNumberFormat="1">
      <alignment horizontal="right" readingOrder="0" vertical="center"/>
    </xf>
    <xf borderId="0" fillId="5" fontId="12" numFmtId="164" xfId="0" applyAlignment="1" applyFill="1" applyFont="1" applyNumberFormat="1">
      <alignment horizontal="right" readingOrder="0" vertical="center"/>
    </xf>
    <xf borderId="0" fillId="5" fontId="16" numFmtId="0" xfId="0" applyAlignment="1" applyFill="1" applyFont="1">
      <alignment horizontal="center" readingOrder="0" vertical="center"/>
    </xf>
    <xf borderId="0" fillId="5" fontId="16" numFmtId="0" xfId="0" applyAlignment="1" applyFill="1" applyFont="1">
      <alignment horizontal="center" vertical="center"/>
    </xf>
    <xf borderId="0" fillId="10" fontId="17" numFmtId="0" xfId="0" applyAlignment="1" applyFill="1" applyFont="1">
      <alignment horizontal="center" readingOrder="0"/>
    </xf>
    <xf borderId="0" fillId="5" fontId="18" numFmtId="0" xfId="0" applyAlignment="1" applyFill="1" applyFont="1">
      <alignment horizontal="center" readingOrder="0" vertical="center"/>
    </xf>
    <xf borderId="0" fillId="5" fontId="18" numFmtId="0" xfId="0" applyAlignment="1" applyFill="1" applyFont="1">
      <alignment horizontal="center" vertical="center"/>
    </xf>
    <xf borderId="0" fillId="5" fontId="19" numFmtId="0" xfId="0" applyAlignment="1" applyFill="1" applyFont="1">
      <alignment horizontal="center" readingOrder="0" vertical="center"/>
    </xf>
    <xf borderId="0" fillId="5" fontId="19" numFmtId="0" xfId="0" applyAlignment="1" applyFill="1" applyFont="1">
      <alignment horizontal="center" vertical="center"/>
    </xf>
    <xf borderId="0" fillId="3" fontId="19" numFmtId="0" xfId="0" applyAlignment="1" applyFill="1" applyFont="1">
      <alignment horizontal="center" readingOrder="0" vertical="center"/>
    </xf>
    <xf borderId="0" fillId="3" fontId="19" numFmtId="0" xfId="0" applyAlignment="1" applyFill="1" applyFont="1">
      <alignment horizontal="center" vertical="center"/>
    </xf>
    <xf borderId="0" fillId="5" fontId="20" numFmtId="0" xfId="0" applyAlignment="1" applyFill="1" applyFont="1">
      <alignment horizontal="center" readingOrder="0" vertical="center"/>
    </xf>
    <xf borderId="0" fillId="11" fontId="12" numFmtId="0" xfId="0" applyAlignment="1" applyFill="1" applyFont="1">
      <alignment horizontal="center" readingOrder="0" vertical="center"/>
    </xf>
    <xf borderId="0" fillId="11" fontId="12" numFmtId="166" xfId="0" applyAlignment="1" applyFill="1" applyFont="1" applyNumberFormat="1">
      <alignment horizontal="right" readingOrder="0" vertical="center"/>
    </xf>
    <xf borderId="0" fillId="8" fontId="13" numFmtId="0" xfId="0" applyAlignment="1" applyFill="1" applyFont="1">
      <alignment horizontal="center" readingOrder="0" vertical="center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12" fontId="2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19191E"/>
                </a:solidFill>
                <a:latin typeface="Roboto"/>
              </a:defRPr>
            </a:pPr>
            <a:r>
              <a:rPr b="1" sz="1200">
                <a:solidFill>
                  <a:srgbClr val="19191E"/>
                </a:solidFill>
                <a:latin typeface="Roboto"/>
              </a:rPr>
              <a:t>3D Category Distribution: Inventory Share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Calc_Data!$C$1:$C$5</c:f>
            </c:strRef>
          </c:cat>
          <c:val>
            <c:numRef>
              <c:f>Calc_Data!$D$1:$D$5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19191E"/>
                </a:solidFill>
                <a:latin typeface="Roboto"/>
              </a:defRPr>
            </a:pPr>
            <a:r>
              <a:rPr b="1" sz="1200">
                <a:solidFill>
                  <a:srgbClr val="19191E"/>
                </a:solidFill>
                <a:latin typeface="Roboto"/>
              </a:rPr>
              <a:t>Product Comparison: Stock Units vs. Sales Velocity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Calc_Data!$L$1</c:f>
            </c:strRef>
          </c:tx>
          <c:spPr>
            <a:solidFill>
              <a:srgbClr val="495B91"/>
            </a:solidFill>
            <a:ln cmpd="sng">
              <a:noFill/>
            </a:ln>
          </c:spPr>
          <c:invertIfNegative val="0"/>
          <c:cat>
            <c:strRef>
              <c:f>Calc_Data!$K$2:$K$11</c:f>
            </c:strRef>
          </c:cat>
          <c:val>
            <c:numRef>
              <c:f>Calc_Data!$L$2:$L$11</c:f>
              <c:numCache/>
            </c:numRef>
          </c:val>
        </c:ser>
        <c:ser>
          <c:idx val="1"/>
          <c:order val="1"/>
          <c:tx>
            <c:strRef>
              <c:f>Calc_Data!$O$1</c:f>
            </c:strRef>
          </c:tx>
          <c:spPr>
            <a:solidFill>
              <a:srgbClr val="33B299"/>
            </a:solidFill>
            <a:ln cmpd="sng">
              <a:noFill/>
            </a:ln>
          </c:spPr>
          <c:invertIfNegative val="0"/>
          <c:cat>
            <c:strRef>
              <c:f>Calc_Data!$K$2:$K$11</c:f>
            </c:strRef>
          </c:cat>
          <c:val>
            <c:numRef>
              <c:f>Calc_Data!$O$2:$O$11</c:f>
              <c:numCache/>
            </c:numRef>
          </c:val>
        </c:ser>
        <c:axId val="1626632747"/>
        <c:axId val="1452552610"/>
      </c:barChart>
      <c:catAx>
        <c:axId val="16266327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2552610"/>
      </c:catAx>
      <c:valAx>
        <c:axId val="14525526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Units / Velocity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663274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19191E"/>
                </a:solidFill>
                <a:latin typeface="Roboto"/>
              </a:defRPr>
            </a:pPr>
            <a:r>
              <a:rPr b="1" sz="1200">
                <a:solidFill>
                  <a:srgbClr val="19191E"/>
                </a:solidFill>
                <a:latin typeface="Roboto"/>
              </a:rPr>
              <a:t>Sales Revenue vs. Profit Margin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Calc_Data!$Q$12</c:f>
            </c:strRef>
          </c:tx>
          <c:spPr>
            <a:solidFill>
              <a:srgbClr val="495B91"/>
            </a:solidFill>
            <a:ln cmpd="sng">
              <a:noFill/>
            </a:ln>
          </c:spPr>
          <c:invertIfNegative val="0"/>
          <c:cat>
            <c:strRef>
              <c:f>Calc_Data!$P$13:$P$16</c:f>
            </c:strRef>
          </c:cat>
          <c:val>
            <c:numRef>
              <c:f>Calc_Data!$Q$13:$Q$16</c:f>
              <c:numCache/>
            </c:numRef>
          </c:val>
        </c:ser>
        <c:axId val="672714841"/>
        <c:axId val="949349453"/>
      </c:barChart>
      <c:catAx>
        <c:axId val="672714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349453"/>
      </c:catAx>
      <c:valAx>
        <c:axId val="949349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714841"/>
      </c:valAx>
      <c:lineChart>
        <c:varyColors val="0"/>
        <c:ser>
          <c:idx val="1"/>
          <c:order val="1"/>
          <c:tx>
            <c:strRef>
              <c:f>Calc_Data!$T$12</c:f>
            </c:strRef>
          </c:tx>
          <c:spPr>
            <a:ln cmpd="sng">
              <a:solidFill>
                <a:srgbClr val="26B266"/>
              </a:solidFill>
            </a:ln>
          </c:spPr>
          <c:marker>
            <c:symbol val="none"/>
          </c:marker>
          <c:cat>
            <c:strRef>
              <c:f>Calc_Data!$P$13:$P$16</c:f>
            </c:strRef>
          </c:cat>
          <c:val>
            <c:numRef>
              <c:f>Calc_Data!$T$13:$T$16</c:f>
              <c:numCache/>
            </c:numRef>
          </c:val>
          <c:smooth val="0"/>
        </c:ser>
        <c:axId val="96898079"/>
        <c:axId val="956621580"/>
      </c:lineChart>
      <c:catAx>
        <c:axId val="968980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6621580"/>
      </c:catAx>
      <c:valAx>
        <c:axId val="95662158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9807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chart" Target="../charts/chart1.xml"/><Relationship Id="rId7" Type="http://schemas.openxmlformats.org/officeDocument/2006/relationships/chart" Target="../charts/chart2.xml"/><Relationship Id="rId8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1952625" cy="838200"/>
    <xdr:pic>
      <xdr:nvPicPr>
        <xdr:cNvPr id="1538273205" name="Chart1" title="TOTAL REVEN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3</xdr:row>
      <xdr:rowOff>0</xdr:rowOff>
    </xdr:from>
    <xdr:ext cx="1952625" cy="838200"/>
    <xdr:pic>
      <xdr:nvPicPr>
        <xdr:cNvPr id="93373279" name="Chart2" title="GROSS PROFIT %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333375</xdr:colOff>
      <xdr:row>3</xdr:row>
      <xdr:rowOff>0</xdr:rowOff>
    </xdr:from>
    <xdr:ext cx="1952625" cy="838200"/>
    <xdr:pic>
      <xdr:nvPicPr>
        <xdr:cNvPr id="2034222137" name="Chart3" title="INVENTORY VALUATION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142875</xdr:colOff>
      <xdr:row>3</xdr:row>
      <xdr:rowOff>0</xdr:rowOff>
    </xdr:from>
    <xdr:ext cx="1952625" cy="838200"/>
    <xdr:pic>
      <xdr:nvPicPr>
        <xdr:cNvPr id="872813609" name="Chart4" title="UNITS IN STOCK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1952625" cy="838200"/>
    <xdr:pic>
      <xdr:nvPicPr>
        <xdr:cNvPr id="2038940522" name="Chart5" title="SUPPLIER FULFILLMEN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4857750" cy="2667000"/>
    <xdr:graphicFrame>
      <xdr:nvGraphicFramePr>
        <xdr:cNvPr id="6" name="Chart 6" title="3D Category Distribution: Inventory Shar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95250</xdr:colOff>
      <xdr:row>9</xdr:row>
      <xdr:rowOff>0</xdr:rowOff>
    </xdr:from>
    <xdr:ext cx="5048250" cy="2667000"/>
    <xdr:graphicFrame>
      <xdr:nvGraphicFramePr>
        <xdr:cNvPr id="7" name="Chart 7" title="Product Comparison: Stock Units vs. Sales Velocit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0</xdr:colOff>
      <xdr:row>24</xdr:row>
      <xdr:rowOff>0</xdr:rowOff>
    </xdr:from>
    <xdr:ext cx="5048250" cy="2762250"/>
    <xdr:graphicFrame>
      <xdr:nvGraphicFramePr>
        <xdr:cNvPr id="8" name="Chart 8" title="Sales Revenue vs. Profit Margin by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30.0"/>
    <col customWidth="1" min="3" max="3" width="10.25"/>
    <col customWidth="1" min="4" max="4" width="10.38"/>
    <col customWidth="1" min="5" max="6" width="12.13"/>
    <col customWidth="1" min="7" max="7" width="13.88"/>
    <col customWidth="1" min="8" max="8" width="14.5"/>
    <col customWidth="1" min="9" max="9" width="19.25"/>
    <col customWidth="1" min="10" max="10" width="10.38"/>
    <col customWidth="1" min="11" max="11" width="14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13</v>
      </c>
      <c r="K1" s="1" t="s">
        <v>14</v>
      </c>
    </row>
    <row r="2">
      <c r="A2" s="3" t="s">
        <v>18</v>
      </c>
      <c r="B2" s="3" t="s">
        <v>20</v>
      </c>
      <c r="C2" s="3" t="s">
        <v>21</v>
      </c>
      <c r="D2" s="4">
        <v>65.0</v>
      </c>
      <c r="E2" s="4">
        <v>129.99</v>
      </c>
      <c r="F2" s="5">
        <v>120.0</v>
      </c>
      <c r="G2" s="5">
        <v>50.0</v>
      </c>
      <c r="H2" s="5">
        <v>0.0</v>
      </c>
      <c r="I2" s="8">
        <f t="shared" ref="I2:I35" si="1">D2*F2</f>
        <v>7800</v>
      </c>
      <c r="J2" s="10">
        <f t="shared" ref="J2:J35" si="2">(E2-D2)/E2</f>
        <v>0.4999615355</v>
      </c>
      <c r="K2" s="11" t="str">
        <f t="shared" ref="K2:K35" si="3">IF(F2&lt;=G2,"Needs Reorder","Sufficient")</f>
        <v>Sufficient</v>
      </c>
    </row>
    <row r="3">
      <c r="A3" s="3" t="s">
        <v>37</v>
      </c>
      <c r="B3" s="3" t="s">
        <v>38</v>
      </c>
      <c r="C3" s="3" t="s">
        <v>21</v>
      </c>
      <c r="D3" s="4">
        <v>45.5</v>
      </c>
      <c r="E3" s="4">
        <v>89.99</v>
      </c>
      <c r="F3" s="5">
        <v>85.0</v>
      </c>
      <c r="G3" s="5">
        <v>40.0</v>
      </c>
      <c r="H3" s="5">
        <v>0.0</v>
      </c>
      <c r="I3" s="8">
        <f t="shared" si="1"/>
        <v>3867.5</v>
      </c>
      <c r="J3" s="10">
        <f t="shared" si="2"/>
        <v>0.4943882654</v>
      </c>
      <c r="K3" s="11" t="str">
        <f t="shared" si="3"/>
        <v>Sufficient</v>
      </c>
    </row>
    <row r="4">
      <c r="A4" s="3" t="s">
        <v>39</v>
      </c>
      <c r="B4" s="3" t="s">
        <v>40</v>
      </c>
      <c r="C4" s="3" t="s">
        <v>41</v>
      </c>
      <c r="D4" s="4">
        <v>110.0</v>
      </c>
      <c r="E4" s="4">
        <v>249.5</v>
      </c>
      <c r="F4" s="5">
        <v>28.0</v>
      </c>
      <c r="G4" s="5">
        <v>30.0</v>
      </c>
      <c r="H4" s="5">
        <v>25.0</v>
      </c>
      <c r="I4" s="8">
        <f t="shared" si="1"/>
        <v>3080</v>
      </c>
      <c r="J4" s="10">
        <f t="shared" si="2"/>
        <v>0.5591182365</v>
      </c>
      <c r="K4" s="11" t="str">
        <f t="shared" si="3"/>
        <v>Needs Reorder</v>
      </c>
    </row>
    <row r="5">
      <c r="A5" s="3" t="s">
        <v>42</v>
      </c>
      <c r="B5" s="3" t="s">
        <v>43</v>
      </c>
      <c r="C5" s="3" t="s">
        <v>41</v>
      </c>
      <c r="D5" s="4">
        <v>185.0</v>
      </c>
      <c r="E5" s="4">
        <v>399.0</v>
      </c>
      <c r="F5" s="5">
        <v>15.0</v>
      </c>
      <c r="G5" s="5">
        <v>20.0</v>
      </c>
      <c r="H5" s="5">
        <v>20.0</v>
      </c>
      <c r="I5" s="8">
        <f t="shared" si="1"/>
        <v>2775</v>
      </c>
      <c r="J5" s="10">
        <f t="shared" si="2"/>
        <v>0.5363408521</v>
      </c>
      <c r="K5" s="11" t="str">
        <f t="shared" si="3"/>
        <v>Needs Reorder</v>
      </c>
    </row>
    <row r="6">
      <c r="A6" s="3" t="s">
        <v>45</v>
      </c>
      <c r="B6" s="3" t="s">
        <v>46</v>
      </c>
      <c r="C6" s="3" t="s">
        <v>47</v>
      </c>
      <c r="D6" s="4">
        <v>8.2</v>
      </c>
      <c r="E6" s="4">
        <v>24.0</v>
      </c>
      <c r="F6" s="5">
        <v>350.0</v>
      </c>
      <c r="G6" s="5">
        <v>100.0</v>
      </c>
      <c r="H6" s="5">
        <v>0.0</v>
      </c>
      <c r="I6" s="8">
        <f t="shared" si="1"/>
        <v>2870</v>
      </c>
      <c r="J6" s="10">
        <f t="shared" si="2"/>
        <v>0.6583333333</v>
      </c>
      <c r="K6" s="11" t="str">
        <f t="shared" si="3"/>
        <v>Sufficient</v>
      </c>
    </row>
    <row r="7">
      <c r="A7" s="3" t="s">
        <v>48</v>
      </c>
      <c r="B7" s="3" t="s">
        <v>49</v>
      </c>
      <c r="C7" s="3" t="s">
        <v>47</v>
      </c>
      <c r="D7" s="4">
        <v>34.0</v>
      </c>
      <c r="E7" s="4">
        <v>85.0</v>
      </c>
      <c r="F7" s="5">
        <v>65.0</v>
      </c>
      <c r="G7" s="5">
        <v>50.0</v>
      </c>
      <c r="H7" s="5">
        <v>0.0</v>
      </c>
      <c r="I7" s="8">
        <f t="shared" si="1"/>
        <v>2210</v>
      </c>
      <c r="J7" s="10">
        <f t="shared" si="2"/>
        <v>0.6</v>
      </c>
      <c r="K7" s="11" t="str">
        <f t="shared" si="3"/>
        <v>Sufficient</v>
      </c>
    </row>
    <row r="8">
      <c r="A8" s="3" t="s">
        <v>50</v>
      </c>
      <c r="B8" s="3" t="s">
        <v>51</v>
      </c>
      <c r="C8" s="3" t="s">
        <v>52</v>
      </c>
      <c r="D8" s="4">
        <v>14.5</v>
      </c>
      <c r="E8" s="4">
        <v>36.0</v>
      </c>
      <c r="F8" s="5">
        <v>90.0</v>
      </c>
      <c r="G8" s="5">
        <v>40.0</v>
      </c>
      <c r="H8" s="5">
        <v>0.0</v>
      </c>
      <c r="I8" s="8">
        <f t="shared" si="1"/>
        <v>1305</v>
      </c>
      <c r="J8" s="10">
        <f t="shared" si="2"/>
        <v>0.5972222222</v>
      </c>
      <c r="K8" s="11" t="str">
        <f t="shared" si="3"/>
        <v>Sufficient</v>
      </c>
    </row>
    <row r="9">
      <c r="A9" s="3" t="s">
        <v>53</v>
      </c>
      <c r="B9" s="3" t="s">
        <v>54</v>
      </c>
      <c r="C9" s="3" t="s">
        <v>52</v>
      </c>
      <c r="D9" s="4">
        <v>22.0</v>
      </c>
      <c r="E9" s="4">
        <v>49.99</v>
      </c>
      <c r="F9" s="5">
        <v>42.0</v>
      </c>
      <c r="G9" s="5">
        <v>35.0</v>
      </c>
      <c r="H9" s="5">
        <v>0.0</v>
      </c>
      <c r="I9" s="8">
        <f t="shared" si="1"/>
        <v>924</v>
      </c>
      <c r="J9" s="10">
        <f t="shared" si="2"/>
        <v>0.5599119824</v>
      </c>
      <c r="K9" s="11" t="str">
        <f t="shared" si="3"/>
        <v>Sufficient</v>
      </c>
    </row>
    <row r="10">
      <c r="A10" s="3" t="s">
        <v>55</v>
      </c>
      <c r="B10" s="3" t="s">
        <v>56</v>
      </c>
      <c r="C10" s="3" t="s">
        <v>21</v>
      </c>
      <c r="D10" s="4">
        <v>38.0</v>
      </c>
      <c r="E10" s="4">
        <v>79.99</v>
      </c>
      <c r="F10" s="5">
        <v>18.0</v>
      </c>
      <c r="G10" s="5">
        <v>45.0</v>
      </c>
      <c r="H10" s="5">
        <v>50.0</v>
      </c>
      <c r="I10" s="8">
        <f t="shared" si="1"/>
        <v>684</v>
      </c>
      <c r="J10" s="10">
        <f t="shared" si="2"/>
        <v>0.5249406176</v>
      </c>
      <c r="K10" s="11" t="str">
        <f t="shared" si="3"/>
        <v>Needs Reorder</v>
      </c>
    </row>
    <row r="11">
      <c r="A11" s="3" t="s">
        <v>58</v>
      </c>
      <c r="B11" s="3" t="s">
        <v>59</v>
      </c>
      <c r="C11" s="3" t="s">
        <v>21</v>
      </c>
      <c r="D11" s="4">
        <v>12.5</v>
      </c>
      <c r="E11" s="4">
        <v>29.99</v>
      </c>
      <c r="F11" s="5">
        <v>210.0</v>
      </c>
      <c r="G11" s="5">
        <v>60.0</v>
      </c>
      <c r="H11" s="5">
        <v>0.0</v>
      </c>
      <c r="I11" s="8">
        <f t="shared" si="1"/>
        <v>2625</v>
      </c>
      <c r="J11" s="10">
        <f t="shared" si="2"/>
        <v>0.5831943981</v>
      </c>
      <c r="K11" s="11" t="str">
        <f t="shared" si="3"/>
        <v>Sufficient</v>
      </c>
    </row>
    <row r="12">
      <c r="A12" s="3" t="s">
        <v>60</v>
      </c>
      <c r="B12" s="3" t="s">
        <v>61</v>
      </c>
      <c r="C12" s="3" t="s">
        <v>41</v>
      </c>
      <c r="D12" s="4">
        <v>95.0</v>
      </c>
      <c r="E12" s="4">
        <v>199.0</v>
      </c>
      <c r="F12" s="5">
        <v>12.0</v>
      </c>
      <c r="G12" s="5">
        <v>15.0</v>
      </c>
      <c r="H12" s="5">
        <v>15.0</v>
      </c>
      <c r="I12" s="8">
        <f t="shared" si="1"/>
        <v>1140</v>
      </c>
      <c r="J12" s="10">
        <f t="shared" si="2"/>
        <v>0.5226130653</v>
      </c>
      <c r="K12" s="11" t="str">
        <f t="shared" si="3"/>
        <v>Needs Reorder</v>
      </c>
    </row>
    <row r="13">
      <c r="A13" s="3" t="s">
        <v>62</v>
      </c>
      <c r="B13" s="3" t="s">
        <v>63</v>
      </c>
      <c r="C13" s="3" t="s">
        <v>41</v>
      </c>
      <c r="D13" s="4">
        <v>18.0</v>
      </c>
      <c r="E13" s="4">
        <v>42.0</v>
      </c>
      <c r="F13" s="5">
        <v>74.0</v>
      </c>
      <c r="G13" s="5">
        <v>30.0</v>
      </c>
      <c r="H13" s="5">
        <v>0.0</v>
      </c>
      <c r="I13" s="8">
        <f t="shared" si="1"/>
        <v>1332</v>
      </c>
      <c r="J13" s="10">
        <f t="shared" si="2"/>
        <v>0.5714285714</v>
      </c>
      <c r="K13" s="11" t="str">
        <f t="shared" si="3"/>
        <v>Sufficient</v>
      </c>
    </row>
    <row r="14">
      <c r="A14" s="3" t="s">
        <v>65</v>
      </c>
      <c r="B14" s="3" t="s">
        <v>66</v>
      </c>
      <c r="C14" s="3" t="s">
        <v>47</v>
      </c>
      <c r="D14" s="4">
        <v>28.5</v>
      </c>
      <c r="E14" s="4">
        <v>75.0</v>
      </c>
      <c r="F14" s="5">
        <v>48.0</v>
      </c>
      <c r="G14" s="5">
        <v>50.0</v>
      </c>
      <c r="H14" s="5">
        <v>40.0</v>
      </c>
      <c r="I14" s="8">
        <f t="shared" si="1"/>
        <v>1368</v>
      </c>
      <c r="J14" s="10">
        <f t="shared" si="2"/>
        <v>0.62</v>
      </c>
      <c r="K14" s="11" t="str">
        <f t="shared" si="3"/>
        <v>Needs Reorder</v>
      </c>
    </row>
    <row r="15">
      <c r="A15" s="3" t="s">
        <v>67</v>
      </c>
      <c r="B15" s="3" t="s">
        <v>68</v>
      </c>
      <c r="C15" s="3" t="s">
        <v>47</v>
      </c>
      <c r="D15" s="4">
        <v>6.5</v>
      </c>
      <c r="E15" s="4">
        <v>18.5</v>
      </c>
      <c r="F15" s="5">
        <v>140.0</v>
      </c>
      <c r="G15" s="5">
        <v>40.0</v>
      </c>
      <c r="H15" s="5">
        <v>0.0</v>
      </c>
      <c r="I15" s="8">
        <f t="shared" si="1"/>
        <v>910</v>
      </c>
      <c r="J15" s="10">
        <f t="shared" si="2"/>
        <v>0.6486486486</v>
      </c>
      <c r="K15" s="11" t="str">
        <f t="shared" si="3"/>
        <v>Sufficient</v>
      </c>
    </row>
    <row r="16">
      <c r="A16" s="3" t="s">
        <v>69</v>
      </c>
      <c r="B16" s="3" t="s">
        <v>70</v>
      </c>
      <c r="C16" s="3" t="s">
        <v>52</v>
      </c>
      <c r="D16" s="4">
        <v>32.0</v>
      </c>
      <c r="E16" s="4">
        <v>79.0</v>
      </c>
      <c r="F16" s="5">
        <v>22.0</v>
      </c>
      <c r="G16" s="5">
        <v>25.0</v>
      </c>
      <c r="H16" s="5">
        <v>30.0</v>
      </c>
      <c r="I16" s="8">
        <f t="shared" si="1"/>
        <v>704</v>
      </c>
      <c r="J16" s="10">
        <f t="shared" si="2"/>
        <v>0.5949367089</v>
      </c>
      <c r="K16" s="11" t="str">
        <f t="shared" si="3"/>
        <v>Needs Reorder</v>
      </c>
    </row>
    <row r="17">
      <c r="A17" s="3" t="s">
        <v>71</v>
      </c>
      <c r="B17" s="3" t="s">
        <v>72</v>
      </c>
      <c r="C17" s="3" t="s">
        <v>52</v>
      </c>
      <c r="D17" s="4">
        <v>11.0</v>
      </c>
      <c r="E17" s="4">
        <v>27.5</v>
      </c>
      <c r="F17" s="5">
        <v>115.0</v>
      </c>
      <c r="G17" s="5">
        <v>45.0</v>
      </c>
      <c r="H17" s="5">
        <v>0.0</v>
      </c>
      <c r="I17" s="8">
        <f t="shared" si="1"/>
        <v>1265</v>
      </c>
      <c r="J17" s="10">
        <f t="shared" si="2"/>
        <v>0.6</v>
      </c>
      <c r="K17" s="11" t="str">
        <f t="shared" si="3"/>
        <v>Sufficient</v>
      </c>
    </row>
    <row r="18">
      <c r="A18" s="3" t="s">
        <v>74</v>
      </c>
      <c r="B18" s="3" t="s">
        <v>75</v>
      </c>
      <c r="C18" s="3" t="s">
        <v>21</v>
      </c>
      <c r="D18" s="4">
        <v>82.0</v>
      </c>
      <c r="E18" s="4">
        <v>169.99</v>
      </c>
      <c r="F18" s="5">
        <v>35.0</v>
      </c>
      <c r="G18" s="5">
        <v>25.0</v>
      </c>
      <c r="H18" s="5">
        <v>0.0</v>
      </c>
      <c r="I18" s="8">
        <f t="shared" si="1"/>
        <v>2870</v>
      </c>
      <c r="J18" s="10">
        <f t="shared" si="2"/>
        <v>0.5176186835</v>
      </c>
      <c r="K18" s="11" t="str">
        <f t="shared" si="3"/>
        <v>Sufficient</v>
      </c>
    </row>
    <row r="19">
      <c r="A19" s="3" t="s">
        <v>76</v>
      </c>
      <c r="B19" s="3" t="s">
        <v>77</v>
      </c>
      <c r="C19" s="3" t="s">
        <v>21</v>
      </c>
      <c r="D19" s="4">
        <v>24.0</v>
      </c>
      <c r="E19" s="4">
        <v>59.99</v>
      </c>
      <c r="F19" s="5">
        <v>160.0</v>
      </c>
      <c r="G19" s="5">
        <v>50.0</v>
      </c>
      <c r="H19" s="5">
        <v>0.0</v>
      </c>
      <c r="I19" s="8">
        <f t="shared" si="1"/>
        <v>3840</v>
      </c>
      <c r="J19" s="10">
        <f t="shared" si="2"/>
        <v>0.5999333222</v>
      </c>
      <c r="K19" s="11" t="str">
        <f t="shared" si="3"/>
        <v>Sufficient</v>
      </c>
    </row>
    <row r="20">
      <c r="A20" s="3" t="s">
        <v>78</v>
      </c>
      <c r="B20" s="3" t="s">
        <v>79</v>
      </c>
      <c r="C20" s="3" t="s">
        <v>41</v>
      </c>
      <c r="D20" s="4">
        <v>16.0</v>
      </c>
      <c r="E20" s="4">
        <v>38.0</v>
      </c>
      <c r="F20" s="5">
        <v>95.0</v>
      </c>
      <c r="G20" s="5">
        <v>35.0</v>
      </c>
      <c r="H20" s="5">
        <v>0.0</v>
      </c>
      <c r="I20" s="8">
        <f t="shared" si="1"/>
        <v>1520</v>
      </c>
      <c r="J20" s="10">
        <f t="shared" si="2"/>
        <v>0.5789473684</v>
      </c>
      <c r="K20" s="11" t="str">
        <f t="shared" si="3"/>
        <v>Sufficient</v>
      </c>
    </row>
    <row r="21">
      <c r="A21" s="3" t="s">
        <v>81</v>
      </c>
      <c r="B21" s="3" t="s">
        <v>82</v>
      </c>
      <c r="C21" s="3" t="s">
        <v>47</v>
      </c>
      <c r="D21" s="4">
        <v>14.0</v>
      </c>
      <c r="E21" s="4">
        <v>42.0</v>
      </c>
      <c r="F21" s="5">
        <v>180.0</v>
      </c>
      <c r="G21" s="5">
        <v>60.0</v>
      </c>
      <c r="H21" s="5">
        <v>0.0</v>
      </c>
      <c r="I21" s="8">
        <f t="shared" si="1"/>
        <v>2520</v>
      </c>
      <c r="J21" s="10">
        <f t="shared" si="2"/>
        <v>0.6666666667</v>
      </c>
      <c r="K21" s="11" t="str">
        <f t="shared" si="3"/>
        <v>Sufficient</v>
      </c>
    </row>
    <row r="22">
      <c r="A22" s="3" t="s">
        <v>83</v>
      </c>
      <c r="B22" s="3" t="s">
        <v>84</v>
      </c>
      <c r="C22" s="3" t="s">
        <v>52</v>
      </c>
      <c r="D22" s="4">
        <v>9.5</v>
      </c>
      <c r="E22" s="4">
        <v>24.99</v>
      </c>
      <c r="F22" s="5">
        <v>230.0</v>
      </c>
      <c r="G22" s="5">
        <v>70.0</v>
      </c>
      <c r="H22" s="5">
        <v>0.0</v>
      </c>
      <c r="I22" s="8">
        <f t="shared" si="1"/>
        <v>2185</v>
      </c>
      <c r="J22" s="10">
        <f t="shared" si="2"/>
        <v>0.6198479392</v>
      </c>
      <c r="K22" s="11" t="str">
        <f t="shared" si="3"/>
        <v>Sufficient</v>
      </c>
    </row>
    <row r="23">
      <c r="A23" s="3" t="s">
        <v>86</v>
      </c>
      <c r="B23" s="3" t="s">
        <v>87</v>
      </c>
      <c r="C23" s="3" t="s">
        <v>52</v>
      </c>
      <c r="D23" s="4">
        <v>15.0</v>
      </c>
      <c r="E23" s="4">
        <v>34.99</v>
      </c>
      <c r="F23" s="5">
        <v>55.0</v>
      </c>
      <c r="G23" s="5">
        <v>30.0</v>
      </c>
      <c r="H23" s="5">
        <v>0.0</v>
      </c>
      <c r="I23" s="8">
        <f t="shared" si="1"/>
        <v>825</v>
      </c>
      <c r="J23" s="10">
        <f t="shared" si="2"/>
        <v>0.5713060875</v>
      </c>
      <c r="K23" s="11" t="str">
        <f t="shared" si="3"/>
        <v>Sufficient</v>
      </c>
    </row>
    <row r="24">
      <c r="A24" s="3" t="s">
        <v>88</v>
      </c>
      <c r="B24" s="3" t="s">
        <v>89</v>
      </c>
      <c r="C24" s="3" t="s">
        <v>21</v>
      </c>
      <c r="D24" s="4">
        <v>19.0</v>
      </c>
      <c r="E24" s="4">
        <v>45.0</v>
      </c>
      <c r="F24" s="5">
        <v>80.0</v>
      </c>
      <c r="G24" s="5">
        <v>35.0</v>
      </c>
      <c r="H24" s="5">
        <v>0.0</v>
      </c>
      <c r="I24" s="8">
        <f t="shared" si="1"/>
        <v>1520</v>
      </c>
      <c r="J24" s="10">
        <f t="shared" si="2"/>
        <v>0.5777777778</v>
      </c>
      <c r="K24" s="11" t="str">
        <f t="shared" si="3"/>
        <v>Sufficient</v>
      </c>
    </row>
    <row r="25">
      <c r="A25" s="3" t="s">
        <v>90</v>
      </c>
      <c r="B25" s="3" t="s">
        <v>91</v>
      </c>
      <c r="C25" s="3" t="s">
        <v>41</v>
      </c>
      <c r="D25" s="4">
        <v>72.0</v>
      </c>
      <c r="E25" s="4">
        <v>169.0</v>
      </c>
      <c r="F25" s="5">
        <v>14.0</v>
      </c>
      <c r="G25" s="5">
        <v>20.0</v>
      </c>
      <c r="H25" s="5">
        <v>15.0</v>
      </c>
      <c r="I25" s="8">
        <f t="shared" si="1"/>
        <v>1008</v>
      </c>
      <c r="J25" s="10">
        <f t="shared" si="2"/>
        <v>0.573964497</v>
      </c>
      <c r="K25" s="11" t="str">
        <f t="shared" si="3"/>
        <v>Needs Reorder</v>
      </c>
    </row>
    <row r="26">
      <c r="A26" s="3" t="s">
        <v>93</v>
      </c>
      <c r="B26" s="3" t="s">
        <v>94</v>
      </c>
      <c r="C26" s="3" t="s">
        <v>21</v>
      </c>
      <c r="D26" s="16">
        <v>18.5</v>
      </c>
      <c r="E26" s="16">
        <v>39.99</v>
      </c>
      <c r="F26" s="3">
        <v>110.0</v>
      </c>
      <c r="G26" s="3">
        <v>45.0</v>
      </c>
      <c r="H26" s="3">
        <v>0.0</v>
      </c>
      <c r="I26" s="12">
        <f t="shared" si="1"/>
        <v>2035</v>
      </c>
      <c r="J26" s="14">
        <f t="shared" si="2"/>
        <v>0.5373843461</v>
      </c>
      <c r="K26" s="7" t="str">
        <f t="shared" si="3"/>
        <v>Sufficient</v>
      </c>
    </row>
    <row r="27">
      <c r="A27" s="3" t="s">
        <v>96</v>
      </c>
      <c r="B27" s="3" t="s">
        <v>97</v>
      </c>
      <c r="C27" s="3" t="s">
        <v>41</v>
      </c>
      <c r="D27" s="16">
        <v>42.0</v>
      </c>
      <c r="E27" s="16">
        <v>89.99</v>
      </c>
      <c r="F27" s="3">
        <v>18.0</v>
      </c>
      <c r="G27" s="3">
        <v>25.0</v>
      </c>
      <c r="H27" s="3">
        <v>30.0</v>
      </c>
      <c r="I27" s="12">
        <f t="shared" si="1"/>
        <v>756</v>
      </c>
      <c r="J27" s="14">
        <f t="shared" si="2"/>
        <v>0.5332814757</v>
      </c>
      <c r="K27" s="7" t="str">
        <f t="shared" si="3"/>
        <v>Needs Reorder</v>
      </c>
    </row>
    <row r="28">
      <c r="A28" s="3" t="s">
        <v>98</v>
      </c>
      <c r="B28" s="3" t="s">
        <v>99</v>
      </c>
      <c r="C28" s="3" t="s">
        <v>41</v>
      </c>
      <c r="D28" s="16">
        <v>16.0</v>
      </c>
      <c r="E28" s="16">
        <v>34.99</v>
      </c>
      <c r="F28" s="3">
        <v>60.0</v>
      </c>
      <c r="G28" s="3">
        <v>30.0</v>
      </c>
      <c r="H28" s="3">
        <v>0.0</v>
      </c>
      <c r="I28" s="12">
        <f t="shared" si="1"/>
        <v>960</v>
      </c>
      <c r="J28" s="14">
        <f t="shared" si="2"/>
        <v>0.5427264933</v>
      </c>
      <c r="K28" s="7" t="str">
        <f t="shared" si="3"/>
        <v>Sufficient</v>
      </c>
    </row>
    <row r="29">
      <c r="A29" s="3" t="s">
        <v>101</v>
      </c>
      <c r="B29" s="3" t="s">
        <v>102</v>
      </c>
      <c r="C29" s="3" t="s">
        <v>47</v>
      </c>
      <c r="D29" s="16">
        <v>12.0</v>
      </c>
      <c r="E29" s="16">
        <v>28.0</v>
      </c>
      <c r="F29" s="3">
        <v>140.0</v>
      </c>
      <c r="G29" s="3">
        <v>50.0</v>
      </c>
      <c r="H29" s="3">
        <v>0.0</v>
      </c>
      <c r="I29" s="12">
        <f t="shared" si="1"/>
        <v>1680</v>
      </c>
      <c r="J29" s="14">
        <f t="shared" si="2"/>
        <v>0.5714285714</v>
      </c>
      <c r="K29" s="7" t="str">
        <f t="shared" si="3"/>
        <v>Sufficient</v>
      </c>
    </row>
    <row r="30">
      <c r="A30" s="3" t="s">
        <v>104</v>
      </c>
      <c r="B30" s="3" t="s">
        <v>105</v>
      </c>
      <c r="C30" s="3" t="s">
        <v>47</v>
      </c>
      <c r="D30" s="16">
        <v>15.5</v>
      </c>
      <c r="E30" s="16">
        <v>36.0</v>
      </c>
      <c r="F30" s="3">
        <v>25.0</v>
      </c>
      <c r="G30" s="3">
        <v>35.0</v>
      </c>
      <c r="H30" s="3">
        <v>40.0</v>
      </c>
      <c r="I30" s="12">
        <f t="shared" si="1"/>
        <v>387.5</v>
      </c>
      <c r="J30" s="14">
        <f t="shared" si="2"/>
        <v>0.5694444444</v>
      </c>
      <c r="K30" s="7" t="str">
        <f t="shared" si="3"/>
        <v>Needs Reorder</v>
      </c>
    </row>
    <row r="31">
      <c r="A31" s="3" t="s">
        <v>106</v>
      </c>
      <c r="B31" s="3" t="s">
        <v>107</v>
      </c>
      <c r="C31" s="3" t="s">
        <v>52</v>
      </c>
      <c r="D31" s="16">
        <v>68.0</v>
      </c>
      <c r="E31" s="16">
        <v>149.99</v>
      </c>
      <c r="F31" s="3">
        <v>16.0</v>
      </c>
      <c r="G31" s="3">
        <v>20.0</v>
      </c>
      <c r="H31" s="3">
        <v>20.0</v>
      </c>
      <c r="I31" s="12">
        <f t="shared" si="1"/>
        <v>1088</v>
      </c>
      <c r="J31" s="14">
        <f t="shared" si="2"/>
        <v>0.5466364424</v>
      </c>
      <c r="K31" s="7" t="str">
        <f t="shared" si="3"/>
        <v>Needs Reorder</v>
      </c>
    </row>
    <row r="32">
      <c r="A32" s="3" t="s">
        <v>108</v>
      </c>
      <c r="B32" s="3" t="s">
        <v>109</v>
      </c>
      <c r="C32" s="3" t="s">
        <v>52</v>
      </c>
      <c r="D32" s="16">
        <v>8.5</v>
      </c>
      <c r="E32" s="16">
        <v>21.99</v>
      </c>
      <c r="F32" s="3">
        <v>175.0</v>
      </c>
      <c r="G32" s="3">
        <v>40.0</v>
      </c>
      <c r="H32" s="3">
        <v>0.0</v>
      </c>
      <c r="I32" s="12">
        <f t="shared" si="1"/>
        <v>1487.5</v>
      </c>
      <c r="J32" s="14">
        <f t="shared" si="2"/>
        <v>0.6134606639</v>
      </c>
      <c r="K32" s="7" t="str">
        <f t="shared" si="3"/>
        <v>Sufficient</v>
      </c>
    </row>
    <row r="33">
      <c r="A33" s="3" t="s">
        <v>110</v>
      </c>
      <c r="B33" s="3" t="s">
        <v>111</v>
      </c>
      <c r="C33" s="3" t="s">
        <v>21</v>
      </c>
      <c r="D33" s="16">
        <v>31.0</v>
      </c>
      <c r="E33" s="16">
        <v>69.99</v>
      </c>
      <c r="F33" s="3">
        <v>20.0</v>
      </c>
      <c r="G33" s="3">
        <v>30.0</v>
      </c>
      <c r="H33" s="3">
        <v>35.0</v>
      </c>
      <c r="I33" s="12">
        <f t="shared" si="1"/>
        <v>620</v>
      </c>
      <c r="J33" s="14">
        <f t="shared" si="2"/>
        <v>0.5570795828</v>
      </c>
      <c r="K33" s="7" t="str">
        <f t="shared" si="3"/>
        <v>Needs Reorder</v>
      </c>
    </row>
    <row r="34">
      <c r="A34" s="3" t="s">
        <v>112</v>
      </c>
      <c r="B34" s="3" t="s">
        <v>113</v>
      </c>
      <c r="C34" s="3" t="s">
        <v>21</v>
      </c>
      <c r="D34" s="16">
        <v>17.0</v>
      </c>
      <c r="E34" s="16">
        <v>39.0</v>
      </c>
      <c r="F34" s="3">
        <v>92.0</v>
      </c>
      <c r="G34" s="3">
        <v>35.0</v>
      </c>
      <c r="H34" s="3">
        <v>0.0</v>
      </c>
      <c r="I34" s="12">
        <f t="shared" si="1"/>
        <v>1564</v>
      </c>
      <c r="J34" s="14">
        <f t="shared" si="2"/>
        <v>0.5641025641</v>
      </c>
      <c r="K34" s="7" t="str">
        <f t="shared" si="3"/>
        <v>Sufficient</v>
      </c>
    </row>
    <row r="35">
      <c r="A35" s="3" t="s">
        <v>115</v>
      </c>
      <c r="B35" s="3" t="s">
        <v>116</v>
      </c>
      <c r="C35" s="3" t="s">
        <v>52</v>
      </c>
      <c r="D35" s="16">
        <v>7.2</v>
      </c>
      <c r="E35" s="16">
        <v>18.5</v>
      </c>
      <c r="F35" s="3">
        <v>85.0</v>
      </c>
      <c r="G35" s="3">
        <v>30.0</v>
      </c>
      <c r="H35" s="3">
        <v>0.0</v>
      </c>
      <c r="I35" s="12">
        <f t="shared" si="1"/>
        <v>612</v>
      </c>
      <c r="J35" s="14">
        <f t="shared" si="2"/>
        <v>0.6108108108</v>
      </c>
      <c r="K35" s="7" t="str">
        <f t="shared" si="3"/>
        <v>Sufficient</v>
      </c>
    </row>
  </sheetData>
  <autoFilter ref="$A$1:$K$3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9.0"/>
    <col customWidth="1" min="3" max="3" width="9.88"/>
    <col customWidth="1" min="4" max="4" width="9.63"/>
    <col customWidth="1" min="5" max="5" width="9.5"/>
    <col customWidth="1" min="6" max="6" width="12.0"/>
    <col customWidth="1" min="8" max="8" width="19.25"/>
    <col customWidth="1" min="11" max="11" width="30.0"/>
  </cols>
  <sheetData>
    <row r="1">
      <c r="A1" s="2" t="s">
        <v>1</v>
      </c>
      <c r="B1" s="2" t="s">
        <v>8</v>
      </c>
      <c r="C1" s="2" t="s">
        <v>3</v>
      </c>
      <c r="D1" s="2" t="s">
        <v>12</v>
      </c>
      <c r="E1" s="2" t="s">
        <v>15</v>
      </c>
      <c r="F1" s="2" t="s">
        <v>17</v>
      </c>
      <c r="G1" s="3" t="s">
        <v>19</v>
      </c>
      <c r="H1" s="3" t="s">
        <v>22</v>
      </c>
      <c r="I1" s="7" t="str">
        <f>Dashboard!D9</f>
        <v>Furniture</v>
      </c>
      <c r="K1" s="3" t="s">
        <v>30</v>
      </c>
      <c r="L1" s="3" t="s">
        <v>6</v>
      </c>
      <c r="M1" s="3" t="s">
        <v>7</v>
      </c>
      <c r="N1" s="3" t="s">
        <v>14</v>
      </c>
      <c r="O1" s="3" t="s">
        <v>31</v>
      </c>
      <c r="P1" s="9" t="s">
        <v>32</v>
      </c>
      <c r="Q1" s="9" t="s">
        <v>8</v>
      </c>
      <c r="R1" s="9" t="s">
        <v>33</v>
      </c>
      <c r="S1" s="9" t="s">
        <v>23</v>
      </c>
      <c r="T1" s="9" t="s">
        <v>34</v>
      </c>
      <c r="U1" s="9" t="s">
        <v>35</v>
      </c>
      <c r="V1" s="9" t="s">
        <v>36</v>
      </c>
      <c r="W1" s="9" t="s">
        <v>13</v>
      </c>
    </row>
    <row r="2">
      <c r="A2" s="3" t="s">
        <v>10</v>
      </c>
      <c r="B2" s="12">
        <f>SUM(Inventory_Data!I2:I35)</f>
        <v>62337.5</v>
      </c>
      <c r="C2" s="3" t="s">
        <v>21</v>
      </c>
      <c r="D2" s="12">
        <f>SUMIFS(Inventory_Data!I$2:I$35, Inventory_Data!C$2:C$35, C2)</f>
        <v>27425.5</v>
      </c>
      <c r="E2" s="13">
        <f>SUMIFS(Inventory_Data!F$2:F$35, Inventory_Data!C$2:C$35, C2)</f>
        <v>930</v>
      </c>
      <c r="F2" s="14">
        <f>AVERAGEIFS(Inventory_Data!J$2:J$35, Inventory_Data!C$2:C$35, C2)</f>
        <v>0.5456381093</v>
      </c>
      <c r="G2" s="12">
        <f>SUMIFS(Sales_Orders!I$2:I$35, Sales_Orders!E$2:E$35, C2)</f>
        <v>13064.38</v>
      </c>
      <c r="H2" s="3" t="s">
        <v>57</v>
      </c>
      <c r="I2" s="7">
        <f>IF(OR(I$1="All Categories", I$1=""), SUM(Inventory_Data!I$2:I$35), SUMIFS(Inventory_Data!I$2:I$35, Inventory_Data!C$2:C$35, I$1))</f>
        <v>12571</v>
      </c>
      <c r="K2" s="7" t="str">
        <f>IFERROR(__xludf.DUMMYFUNCTION("IFERROR(INDEX(FILTER(Inventory_Data!B$2:B$35, (Inventory_Data!A$2:A$35&lt;&gt;"""") * IF(OR(I$1=""All Categories"", I$1=""""), 1, (Inventory_Data!C$2:C$35=I$1))), 1), ""-"")"),"Ergonomic Office Chair")</f>
        <v>Ergonomic Office Chair</v>
      </c>
      <c r="L2" s="15">
        <f>IFERROR(__xludf.DUMMYFUNCTION("IFERROR(INDEX(FILTER(Inventory_Data!F$2:F$35, (Inventory_Data!A$2:A$35&lt;&gt;"""") * IF(OR(I$1=""All Categories"", I$1=""""), 1, (Inventory_Data!C$2:C$35=I$1))), 1), 0)"),28.0)</f>
        <v>28</v>
      </c>
      <c r="M2" s="13">
        <f>IFERROR(__xludf.DUMMYFUNCTION("IFERROR(INDEX(FILTER(Inventory_Data!G$2:G$35, (Inventory_Data!A$2:A$35&lt;&gt;"""") * IF(OR(I$1=""All Categories"", I$1=""""), 1, (Inventory_Data!C$2:C$35=I$1))), 1), 0)"),30.0)</f>
        <v>30</v>
      </c>
      <c r="N2" s="7" t="str">
        <f>IFERROR(__xludf.DUMMYFUNCTION("IFERROR(INDEX(FILTER(Inventory_Data!K$2:K$35, (Inventory_Data!A$2:A$35&lt;&gt;"""") * IF(OR(I$1=""All Categories"", I$1=""""), 1, (Inventory_Data!C$2:C$35=I$1))), 1), ""-"")"),"Needs Reorder")</f>
        <v>Needs Reorder</v>
      </c>
      <c r="O2" s="7">
        <f>IF(K2="-", 0, IFERROR(SUMIF(Sales_Orders!D$2:D$35, K2, Sales_Orders!G$2:G$35), 0))</f>
        <v>8</v>
      </c>
      <c r="P2" s="3" t="s">
        <v>95</v>
      </c>
      <c r="Q2" s="12">
        <f>SUM(Sales_Orders!I$2:I$35)</f>
        <v>35454.49</v>
      </c>
      <c r="R2" s="3" t="s">
        <v>100</v>
      </c>
      <c r="S2" s="3" t="s">
        <v>44</v>
      </c>
      <c r="T2" s="12">
        <f>SUMIF(Sales_Orders!F$2:F$35, S2, Sales_Orders!I$2:I$35)</f>
        <v>14735.72</v>
      </c>
      <c r="U2" s="12">
        <f>SUMIF(Sales_Orders!F$2:F$35, S2, Sales_Orders!K$2:K$35)</f>
        <v>8100.72</v>
      </c>
      <c r="V2" s="13">
        <f>SUMIF(Sales_Orders!F$2:F$35, S2, Sales_Orders!G$2:G$35)</f>
        <v>250</v>
      </c>
      <c r="W2" s="14">
        <f t="shared" ref="W2:W5" si="1">IF(T2&gt;0, U2/T2, 0)</f>
        <v>0.5497335726</v>
      </c>
    </row>
    <row r="3">
      <c r="A3" s="3" t="s">
        <v>117</v>
      </c>
      <c r="B3" s="13">
        <f>SUM(Inventory_Data!F2:F35)</f>
        <v>3024</v>
      </c>
      <c r="C3" s="3" t="s">
        <v>41</v>
      </c>
      <c r="D3" s="12">
        <f>SUMIFS(Inventory_Data!I$2:I$35, Inventory_Data!C$2:C$35, C3)</f>
        <v>12571</v>
      </c>
      <c r="E3" s="13">
        <f>SUMIFS(Inventory_Data!F$2:F$35, Inventory_Data!C$2:C$35, C3)</f>
        <v>316</v>
      </c>
      <c r="F3" s="14">
        <f>AVERAGEIFS(Inventory_Data!J$2:J$35, Inventory_Data!C$2:C$35, C3)</f>
        <v>0.55230257</v>
      </c>
      <c r="G3" s="12">
        <f>SUMIFS(Sales_Orders!I$2:I$35, Sales_Orders!E$2:E$35, C3)</f>
        <v>8719.74</v>
      </c>
      <c r="H3" s="3" t="s">
        <v>121</v>
      </c>
      <c r="I3" s="7">
        <f>IF(OR(I$1="All Categories", I$1=""), SUM(Inventory_Data!F$2:F$35), SUMIFS(Inventory_Data!F$2:F$35, Inventory_Data!C$2:C$35, I$1))</f>
        <v>316</v>
      </c>
      <c r="K3" s="7" t="str">
        <f>IFERROR(__xludf.DUMMYFUNCTION("IFERROR(INDEX(FILTER(Inventory_Data!B$2:B$35, (Inventory_Data!A$2:A$35&lt;&gt;"""") * IF(OR(I$1=""All Categories"", I$1=""""), 1, (Inventory_Data!C$2:C$35=I$1))), 2), ""-"")"),"Motorized Standing Desk")</f>
        <v>Motorized Standing Desk</v>
      </c>
      <c r="L3" s="13">
        <f>IFERROR(__xludf.DUMMYFUNCTION("IFERROR(INDEX(FILTER(Inventory_Data!F$2:F$35, (Inventory_Data!A$2:A$35&lt;&gt;"""") * IF(OR(I$1=""All Categories"", I$1=""""), 1, (Inventory_Data!C$2:C$35=I$1))), 2), 0)"),15.0)</f>
        <v>15</v>
      </c>
      <c r="M3" s="13">
        <f>IFERROR(__xludf.DUMMYFUNCTION("IFERROR(INDEX(FILTER(Inventory_Data!G$2:G$35, (Inventory_Data!A$2:A$35&lt;&gt;"""") * IF(OR(I$1=""All Categories"", I$1=""""), 1, (Inventory_Data!C$2:C$35=I$1))), 2), 0)"),20.0)</f>
        <v>20</v>
      </c>
      <c r="N3" s="7" t="str">
        <f>IFERROR(__xludf.DUMMYFUNCTION("IFERROR(INDEX(FILTER(Inventory_Data!K$2:K$35, (Inventory_Data!A$2:A$35&lt;&gt;"""") * IF(OR(I$1=""All Categories"", I$1=""""), 1, (Inventory_Data!C$2:C$35=I$1))), 2), ""-"")"),"Needs Reorder")</f>
        <v>Needs Reorder</v>
      </c>
      <c r="O3" s="7">
        <f>IF(K3="-", 0, IFERROR(SUMIF(Sales_Orders!D$2:D$35, K3, Sales_Orders!G$2:G$35), 0))</f>
        <v>5</v>
      </c>
      <c r="P3" s="3" t="s">
        <v>124</v>
      </c>
      <c r="Q3" s="12">
        <f>SUM(Sales_Orders!J$2:J$35)</f>
        <v>15360.5</v>
      </c>
      <c r="R3" s="3" t="s">
        <v>126</v>
      </c>
      <c r="S3" s="3" t="s">
        <v>73</v>
      </c>
      <c r="T3" s="12">
        <f>SUMIF(Sales_Orders!F$2:F$35, S3, Sales_Orders!I$2:I$35)</f>
        <v>6656.13</v>
      </c>
      <c r="U3" s="12">
        <f>SUMIF(Sales_Orders!F$2:F$35, S3, Sales_Orders!K$2:K$35)</f>
        <v>3959.63</v>
      </c>
      <c r="V3" s="13">
        <f>SUMIF(Sales_Orders!F$2:F$35, S3, Sales_Orders!G$2:G$35)</f>
        <v>231</v>
      </c>
      <c r="W3" s="14">
        <f t="shared" si="1"/>
        <v>0.5948847153</v>
      </c>
    </row>
    <row r="4">
      <c r="A4" s="3" t="s">
        <v>128</v>
      </c>
      <c r="B4" s="13">
        <f>COUNTIF(Inventory_Data!K2:K35, "Needs Reorder")</f>
        <v>11</v>
      </c>
      <c r="C4" s="3" t="s">
        <v>47</v>
      </c>
      <c r="D4" s="12">
        <f>SUMIFS(Inventory_Data!I$2:I$35, Inventory_Data!C$2:C$35, C4)</f>
        <v>11945.5</v>
      </c>
      <c r="E4" s="13">
        <f>SUMIFS(Inventory_Data!F$2:F$35, Inventory_Data!C$2:C$35, C4)</f>
        <v>948</v>
      </c>
      <c r="F4" s="14">
        <f>AVERAGEIFS(Inventory_Data!J$2:J$35, Inventory_Data!C$2:C$35, C4)</f>
        <v>0.6192173806</v>
      </c>
      <c r="G4" s="12">
        <f>SUMIFS(Sales_Orders!I$2:I$35, Sales_Orders!E$2:E$35, C4)</f>
        <v>6505</v>
      </c>
      <c r="H4" s="3" t="s">
        <v>130</v>
      </c>
      <c r="I4" s="7">
        <f>IF(OR(I$1="All Categories", I$1=""), COUNTIF(Inventory_Data!K$2:K$35, "Needs Reorder"), COUNTIFS(Inventory_Data!K$2:K$35, "Needs Reorder", Inventory_Data!C$2:C$35, I$1))</f>
        <v>5</v>
      </c>
      <c r="K4" s="7" t="str">
        <f>IFERROR(__xludf.DUMMYFUNCTION("IFERROR(INDEX(FILTER(Inventory_Data!B$2:B$35, (Inventory_Data!A$2:A$35&lt;&gt;"""") * IF(OR(I$1=""All Categories"", I$1=""""), 1, (Inventory_Data!C$2:C$35=I$1))), 3), ""-"")"),"Solid Oak Bookshelf 5-Tier")</f>
        <v>Solid Oak Bookshelf 5-Tier</v>
      </c>
      <c r="L4" s="13">
        <f>IFERROR(__xludf.DUMMYFUNCTION("IFERROR(INDEX(FILTER(Inventory_Data!F$2:F$35, (Inventory_Data!A$2:A$35&lt;&gt;"""") * IF(OR(I$1=""All Categories"", I$1=""""), 1, (Inventory_Data!C$2:C$35=I$1))), 3), 0)"),12.0)</f>
        <v>12</v>
      </c>
      <c r="M4" s="13">
        <f>IFERROR(__xludf.DUMMYFUNCTION("IFERROR(INDEX(FILTER(Inventory_Data!G$2:G$35, (Inventory_Data!A$2:A$35&lt;&gt;"""") * IF(OR(I$1=""All Categories"", I$1=""""), 1, (Inventory_Data!C$2:C$35=I$1))), 3), 0)"),15.0)</f>
        <v>15</v>
      </c>
      <c r="N4" s="7" t="str">
        <f>IFERROR(__xludf.DUMMYFUNCTION("IFERROR(INDEX(FILTER(Inventory_Data!K$2:K$35, (Inventory_Data!A$2:A$35&lt;&gt;"""") * IF(OR(I$1=""All Categories"", I$1=""""), 1, (Inventory_Data!C$2:C$35=I$1))), 3), ""-"")"),"Needs Reorder")</f>
        <v>Needs Reorder</v>
      </c>
      <c r="O4" s="7">
        <f>IF(K4="-", 0, IFERROR(SUMIF(Sales_Orders!D$2:D$35, K4, Sales_Orders!G$2:G$35), 0))</f>
        <v>6</v>
      </c>
      <c r="P4" s="3" t="s">
        <v>28</v>
      </c>
      <c r="Q4" s="12">
        <f>SUM(Sales_Orders!K$2:K$35)</f>
        <v>20093.99</v>
      </c>
      <c r="R4" s="3" t="s">
        <v>140</v>
      </c>
      <c r="S4" s="3" t="s">
        <v>85</v>
      </c>
      <c r="T4" s="12">
        <f>SUMIF(Sales_Orders!F$2:F$35, S4, Sales_Orders!I$2:I$35)</f>
        <v>7953.82</v>
      </c>
      <c r="U4" s="12">
        <f>SUMIF(Sales_Orders!F$2:F$35, S4, Sales_Orders!K$2:K$35)</f>
        <v>4356.82</v>
      </c>
      <c r="V4" s="13">
        <f>SUMIF(Sales_Orders!F$2:F$35, S4, Sales_Orders!G$2:G$35)</f>
        <v>54</v>
      </c>
      <c r="W4" s="14">
        <f t="shared" si="1"/>
        <v>0.5477644704</v>
      </c>
    </row>
    <row r="5">
      <c r="A5" s="3" t="s">
        <v>159</v>
      </c>
      <c r="B5" s="14">
        <f>AVERAGE(Inventory_Data!J2:J35)</f>
        <v>0.5742192993</v>
      </c>
      <c r="C5" s="3" t="s">
        <v>52</v>
      </c>
      <c r="D5" s="12">
        <f>SUMIFS(Inventory_Data!I$2:I$35, Inventory_Data!C$2:C$35, C5)</f>
        <v>10395.5</v>
      </c>
      <c r="E5" s="13">
        <f>SUMIFS(Inventory_Data!F$2:F$35, Inventory_Data!C$2:C$35, C5)</f>
        <v>830</v>
      </c>
      <c r="F5" s="14">
        <f>AVERAGEIFS(Inventory_Data!J$2:J$35, Inventory_Data!C$2:C$35, C5)</f>
        <v>0.5904592064</v>
      </c>
      <c r="G5" s="12">
        <f>SUMIFS(Sales_Orders!I$2:I$35, Sales_Orders!E$2:E$35, C5)</f>
        <v>7165.37</v>
      </c>
      <c r="H5" s="3" t="s">
        <v>162</v>
      </c>
      <c r="I5" s="7">
        <f>IF(OR(I$1="All Categories", I$1=""), AVERAGE(Inventory_Data!J$2:J$35), AVERAGEIFS(Inventory_Data!J$2:J$35, Inventory_Data!C$2:C$35, I$1))</f>
        <v>0.55230257</v>
      </c>
      <c r="K5" s="7" t="str">
        <f>IFERROR(__xludf.DUMMYFUNCTION("IFERROR(INDEX(FILTER(Inventory_Data!B$2:B$35, (Inventory_Data!A$2:A$35&lt;&gt;"""") * IF(OR(I$1=""All Categories"", I$1=""""), 1, (Inventory_Data!C$2:C$35=I$1))), 4), ""-"")"),"Modern Minimalist Desk Lamp")</f>
        <v>Modern Minimalist Desk Lamp</v>
      </c>
      <c r="L5" s="13">
        <f>IFERROR(__xludf.DUMMYFUNCTION("IFERROR(INDEX(FILTER(Inventory_Data!F$2:F$35, (Inventory_Data!A$2:A$35&lt;&gt;"""") * IF(OR(I$1=""All Categories"", I$1=""""), 1, (Inventory_Data!C$2:C$35=I$1))), 4), 0)"),74.0)</f>
        <v>74</v>
      </c>
      <c r="M5" s="13">
        <f>IFERROR(__xludf.DUMMYFUNCTION("IFERROR(INDEX(FILTER(Inventory_Data!G$2:G$35, (Inventory_Data!A$2:A$35&lt;&gt;"""") * IF(OR(I$1=""All Categories"", I$1=""""), 1, (Inventory_Data!C$2:C$35=I$1))), 4), 0)"),30.0)</f>
        <v>30</v>
      </c>
      <c r="N5" s="7" t="str">
        <f>IFERROR(__xludf.DUMMYFUNCTION("IFERROR(INDEX(FILTER(Inventory_Data!K$2:K$35, (Inventory_Data!A$2:A$35&lt;&gt;"""") * IF(OR(I$1=""All Categories"", I$1=""""), 1, (Inventory_Data!C$2:C$35=I$1))), 4), ""-"")"),"Sufficient")</f>
        <v>Sufficient</v>
      </c>
      <c r="O5" s="7">
        <f>IF(K5="-", 0, IFERROR(SUMIF(Sales_Orders!D$2:D$35, K5, Sales_Orders!G$2:G$35), 0))</f>
        <v>12</v>
      </c>
      <c r="P5" s="3" t="s">
        <v>165</v>
      </c>
      <c r="Q5" s="14">
        <f>IF(Q2&gt;0, Q4/Q2, 0)</f>
        <v>0.5667544506</v>
      </c>
      <c r="R5" s="3" t="s">
        <v>166</v>
      </c>
      <c r="S5" s="3" t="s">
        <v>119</v>
      </c>
      <c r="T5" s="12">
        <f>SUMIF(Sales_Orders!F$2:F$35, S5, Sales_Orders!I$2:I$35)</f>
        <v>6108.82</v>
      </c>
      <c r="U5" s="12">
        <f>SUMIF(Sales_Orders!F$2:F$35, S5, Sales_Orders!K$2:K$35)</f>
        <v>3676.82</v>
      </c>
      <c r="V5" s="13">
        <f>SUMIF(Sales_Orders!F$2:F$35, S5, Sales_Orders!G$2:G$35)</f>
        <v>132</v>
      </c>
      <c r="W5" s="14">
        <f t="shared" si="1"/>
        <v>0.6018871075</v>
      </c>
    </row>
    <row r="6">
      <c r="A6" s="3" t="s">
        <v>168</v>
      </c>
      <c r="B6" s="13">
        <f>COUNTA(Inventory_Data!A2:A35)</f>
        <v>34</v>
      </c>
      <c r="H6" s="3" t="s">
        <v>169</v>
      </c>
      <c r="I6" s="7">
        <f>IF(OR(I$1="All Categories", I$1=""), COUNTA(Inventory_Data!A$2:A$35), COUNTIF(Inventory_Data!C$2:C$35, I$1))</f>
        <v>8</v>
      </c>
      <c r="K6" s="7" t="str">
        <f>IFERROR(__xludf.DUMMYFUNCTION("IFERROR(INDEX(FILTER(Inventory_Data!B$2:B$35, (Inventory_Data!A$2:A$35&lt;&gt;"""") * IF(OR(I$1=""All Categories"", I$1=""""), 1, (Inventory_Data!C$2:C$35=I$1))), 5), ""-"")"),"Adjustable Laptop Riser")</f>
        <v>Adjustable Laptop Riser</v>
      </c>
      <c r="L6" s="13">
        <f>IFERROR(__xludf.DUMMYFUNCTION("IFERROR(INDEX(FILTER(Inventory_Data!F$2:F$35, (Inventory_Data!A$2:A$35&lt;&gt;"""") * IF(OR(I$1=""All Categories"", I$1=""""), 1, (Inventory_Data!C$2:C$35=I$1))), 5), 0)"),95.0)</f>
        <v>95</v>
      </c>
      <c r="M6" s="13">
        <f>IFERROR(__xludf.DUMMYFUNCTION("IFERROR(INDEX(FILTER(Inventory_Data!G$2:G$35, (Inventory_Data!A$2:A$35&lt;&gt;"""") * IF(OR(I$1=""All Categories"", I$1=""""), 1, (Inventory_Data!C$2:C$35=I$1))), 5), 0)"),35.0)</f>
        <v>35</v>
      </c>
      <c r="N6" s="7" t="str">
        <f>IFERROR(__xludf.DUMMYFUNCTION("IFERROR(INDEX(FILTER(Inventory_Data!K$2:K$35, (Inventory_Data!A$2:A$35&lt;&gt;"""") * IF(OR(I$1=""All Categories"", I$1=""""), 1, (Inventory_Data!C$2:C$35=I$1))), 5), ""-"")"),"Sufficient")</f>
        <v>Sufficient</v>
      </c>
      <c r="O6" s="7">
        <f>IF(K6="-", 0, IFERROR(SUMIF(Sales_Orders!D$2:D$35, K6, Sales_Orders!G$2:G$35), 0))</f>
        <v>22</v>
      </c>
      <c r="P6" s="3" t="s">
        <v>172</v>
      </c>
      <c r="Q6" s="13">
        <f>SUM(Sales_Orders!G$2:G$35)</f>
        <v>667</v>
      </c>
      <c r="R6" s="3" t="s">
        <v>173</v>
      </c>
    </row>
    <row r="7">
      <c r="A7" s="3" t="s">
        <v>174</v>
      </c>
      <c r="B7" s="13">
        <f>SUM(Inventory_Data!H2:H35)</f>
        <v>320</v>
      </c>
      <c r="H7" s="3" t="s">
        <v>175</v>
      </c>
      <c r="I7" s="12">
        <f>IF(OR(I$1="All Categories", I$1=""), SUM(Sales_Orders!I$2:I$35), SUMIFS(Sales_Orders!I$2:I$35, Sales_Orders!E$2:E$35, I$1))</f>
        <v>8719.74</v>
      </c>
      <c r="K7" s="7" t="str">
        <f>IFERROR(__xludf.DUMMYFUNCTION("IFERROR(INDEX(FILTER(Inventory_Data!B$2:B$35, (Inventory_Data!A$2:A$35&lt;&gt;"""") * IF(OR(I$1=""All Categories"", I$1=""""), 1, (Inventory_Data!C$2:C$35=I$1))), 6), ""-"")"),"Velvet Accent Living Chair")</f>
        <v>Velvet Accent Living Chair</v>
      </c>
      <c r="L7" s="13">
        <f>IFERROR(__xludf.DUMMYFUNCTION("IFERROR(INDEX(FILTER(Inventory_Data!F$2:F$35, (Inventory_Data!A$2:A$35&lt;&gt;"""") * IF(OR(I$1=""All Categories"", I$1=""""), 1, (Inventory_Data!C$2:C$35=I$1))), 6), 0)"),14.0)</f>
        <v>14</v>
      </c>
      <c r="M7" s="13">
        <f>IFERROR(__xludf.DUMMYFUNCTION("IFERROR(INDEX(FILTER(Inventory_Data!G$2:G$35, (Inventory_Data!A$2:A$35&lt;&gt;"""") * IF(OR(I$1=""All Categories"", I$1=""""), 1, (Inventory_Data!C$2:C$35=I$1))), 6), 0)"),20.0)</f>
        <v>20</v>
      </c>
      <c r="N7" s="7" t="str">
        <f>IFERROR(__xludf.DUMMYFUNCTION("IFERROR(INDEX(FILTER(Inventory_Data!K$2:K$35, (Inventory_Data!A$2:A$35&lt;&gt;"""") * IF(OR(I$1=""All Categories"", I$1=""""), 1, (Inventory_Data!C$2:C$35=I$1))), 6), ""-"")"),"Needs Reorder")</f>
        <v>Needs Reorder</v>
      </c>
      <c r="O7" s="7">
        <f>IF(K7="-", 0, IFERROR(SUMIF(Sales_Orders!D$2:D$35, K7, Sales_Orders!G$2:G$35), 0))</f>
        <v>5</v>
      </c>
      <c r="P7" s="3" t="s">
        <v>178</v>
      </c>
      <c r="Q7" s="12">
        <f>IF(COUNTA(Sales_Orders!A$2:A$35)&gt;0, Q2/COUNTA(Sales_Orders!A$2:A$35), 0)</f>
        <v>1042.779118</v>
      </c>
      <c r="R7" s="3" t="s">
        <v>179</v>
      </c>
    </row>
    <row r="8">
      <c r="H8" s="3" t="s">
        <v>180</v>
      </c>
      <c r="I8" s="12">
        <f>IF(OR(I$1="All Categories", I$1=""), SUM(Sales_Orders!K$2:K$35), SUMIFS(Sales_Orders!K$2:K$35, Sales_Orders!E$2:E$35, I$1))</f>
        <v>4792.74</v>
      </c>
      <c r="K8" s="7" t="str">
        <f>IFERROR(__xludf.DUMMYFUNCTION("IFERROR(INDEX(FILTER(Inventory_Data!B$2:B$35, (Inventory_Data!A$2:A$35&lt;&gt;"""") * IF(OR(I$1=""All Categories"", I$1=""""), 1, (Inventory_Data!C$2:C$35=I$1))), 7), ""-"")"),"Dual Monitor Adjustable Arm")</f>
        <v>Dual Monitor Adjustable Arm</v>
      </c>
      <c r="L8" s="13">
        <f>IFERROR(__xludf.DUMMYFUNCTION("IFERROR(INDEX(FILTER(Inventory_Data!F$2:F$35, (Inventory_Data!A$2:A$35&lt;&gt;"""") * IF(OR(I$1=""All Categories"", I$1=""""), 1, (Inventory_Data!C$2:C$35=I$1))), 7), 0)"),18.0)</f>
        <v>18</v>
      </c>
      <c r="M8" s="13">
        <f>IFERROR(__xludf.DUMMYFUNCTION("IFERROR(INDEX(FILTER(Inventory_Data!G$2:G$35, (Inventory_Data!A$2:A$35&lt;&gt;"""") * IF(OR(I$1=""All Categories"", I$1=""""), 1, (Inventory_Data!C$2:C$35=I$1))), 7), 0)"),25.0)</f>
        <v>25</v>
      </c>
      <c r="N8" s="7" t="str">
        <f>IFERROR(__xludf.DUMMYFUNCTION("IFERROR(INDEX(FILTER(Inventory_Data!K$2:K$35, (Inventory_Data!A$2:A$35&lt;&gt;"""") * IF(OR(I$1=""All Categories"", I$1=""""), 1, (Inventory_Data!C$2:C$35=I$1))), 7), ""-"")"),"Needs Reorder")</f>
        <v>Needs Reorder</v>
      </c>
      <c r="O8" s="7">
        <f>IF(K8="-", 0, IFERROR(SUMIF(Sales_Orders!D$2:D$35, K8, Sales_Orders!G$2:G$35), 0))</f>
        <v>8</v>
      </c>
      <c r="P8" s="3" t="s">
        <v>183</v>
      </c>
      <c r="Q8" s="14">
        <f>AVERAGE(Suppliers_Data!E$2:E$9)</f>
        <v>0.94375</v>
      </c>
      <c r="R8" s="3" t="s">
        <v>184</v>
      </c>
    </row>
    <row r="9">
      <c r="H9" s="3" t="s">
        <v>185</v>
      </c>
      <c r="I9" s="14">
        <f>IF(I7&gt;0, I8/I7, 0)</f>
        <v>0.5496425352</v>
      </c>
      <c r="K9" s="7" t="str">
        <f>IFERROR(__xludf.DUMMYFUNCTION("IFERROR(INDEX(FILTER(Inventory_Data!B$2:B$35, (Inventory_Data!A$2:A$35&lt;&gt;"""") * IF(OR(I$1=""All Categories"", I$1=""""), 1, (Inventory_Data!C$2:C$35=I$1))), 8), ""-"")"),"Bamboo Memory Foam Pillow")</f>
        <v>Bamboo Memory Foam Pillow</v>
      </c>
      <c r="L9" s="13">
        <f>IFERROR(__xludf.DUMMYFUNCTION("IFERROR(INDEX(FILTER(Inventory_Data!F$2:F$35, (Inventory_Data!A$2:A$35&lt;&gt;"""") * IF(OR(I$1=""All Categories"", I$1=""""), 1, (Inventory_Data!C$2:C$35=I$1))), 8), 0)"),60.0)</f>
        <v>60</v>
      </c>
      <c r="M9" s="13">
        <f>IFERROR(__xludf.DUMMYFUNCTION("IFERROR(INDEX(FILTER(Inventory_Data!G$2:G$35, (Inventory_Data!A$2:A$35&lt;&gt;"""") * IF(OR(I$1=""All Categories"", I$1=""""), 1, (Inventory_Data!C$2:C$35=I$1))), 8), 0)"),30.0)</f>
        <v>30</v>
      </c>
      <c r="N9" s="7" t="str">
        <f>IFERROR(__xludf.DUMMYFUNCTION("IFERROR(INDEX(FILTER(Inventory_Data!K$2:K$35, (Inventory_Data!A$2:A$35&lt;&gt;"""") * IF(OR(I$1=""All Categories"", I$1=""""), 1, (Inventory_Data!C$2:C$35=I$1))), 8), ""-"")"),"Sufficient")</f>
        <v>Sufficient</v>
      </c>
      <c r="O9" s="7">
        <f>IF(K9="-", 0, IFERROR(SUMIF(Sales_Orders!D$2:D$35, K9, Sales_Orders!G$2:G$35), 0))</f>
        <v>18</v>
      </c>
      <c r="P9" s="3" t="s">
        <v>188</v>
      </c>
      <c r="Q9" s="13">
        <f>SUM(Suppliers_Data!G$2:G$9)</f>
        <v>17</v>
      </c>
      <c r="R9" s="3" t="s">
        <v>189</v>
      </c>
    </row>
    <row r="10">
      <c r="H10" s="3" t="s">
        <v>190</v>
      </c>
      <c r="I10" s="13">
        <f>IF(OR(I$1="All Categories", I$1=""), SUM(Sales_Orders!G$2:G$35), SUMIFS(Sales_Orders!G$2:G$35, Sales_Orders!E$2:E$35, I$1))</f>
        <v>84</v>
      </c>
      <c r="K10" s="7" t="str">
        <f>IFERROR(__xludf.DUMMYFUNCTION("IFERROR(INDEX(FILTER(Inventory_Data!B$2:B$35, (Inventory_Data!A$2:A$35&lt;&gt;"""") * IF(OR(I$1=""All Categories"", I$1=""""), 1, (Inventory_Data!C$2:C$35=I$1))), 9), ""-"")"),"-")</f>
        <v>-</v>
      </c>
      <c r="L10" s="13">
        <f>IFERROR(__xludf.DUMMYFUNCTION("IFERROR(INDEX(FILTER(Inventory_Data!F$2:F$35, (Inventory_Data!A$2:A$35&lt;&gt;"""") * IF(OR(I$1=""All Categories"", I$1=""""), 1, (Inventory_Data!C$2:C$35=I$1))), 9), 0)"),0.0)</f>
        <v>0</v>
      </c>
      <c r="M10" s="13">
        <f>IFERROR(__xludf.DUMMYFUNCTION("IFERROR(INDEX(FILTER(Inventory_Data!G$2:G$35, (Inventory_Data!A$2:A$35&lt;&gt;"""") * IF(OR(I$1=""All Categories"", I$1=""""), 1, (Inventory_Data!C$2:C$35=I$1))), 9), 0)"),0.0)</f>
        <v>0</v>
      </c>
      <c r="N10" s="7" t="str">
        <f>IFERROR(__xludf.DUMMYFUNCTION("IFERROR(INDEX(FILTER(Inventory_Data!K$2:K$35, (Inventory_Data!A$2:A$35&lt;&gt;"""") * IF(OR(I$1=""All Categories"", I$1=""""), 1, (Inventory_Data!C$2:C$35=I$1))), 9), ""-"")"),"-")</f>
        <v>-</v>
      </c>
      <c r="O10" s="7">
        <f>IF(K10="-", 0, IFERROR(SUMIF(Sales_Orders!D$2:D$35, K10, Sales_Orders!G$2:G$35), 0))</f>
        <v>0</v>
      </c>
      <c r="P10" s="3" t="s">
        <v>193</v>
      </c>
      <c r="Q10" s="12">
        <f>SUM(Suppliers_Data!H$2:H$9)</f>
        <v>128800</v>
      </c>
      <c r="R10" s="3" t="s">
        <v>194</v>
      </c>
    </row>
    <row r="11">
      <c r="K11" s="7" t="str">
        <f>IFERROR(__xludf.DUMMYFUNCTION("IFERROR(INDEX(FILTER(Inventory_Data!B$2:B$35, (Inventory_Data!A$2:A$35&lt;&gt;"""") * IF(OR(I$1=""All Categories"", I$1=""""), 1, (Inventory_Data!C$2:C$35=I$1))), 10), ""-"")"),"-")</f>
        <v>-</v>
      </c>
      <c r="L11" s="13">
        <f>IFERROR(__xludf.DUMMYFUNCTION("IFERROR(INDEX(FILTER(Inventory_Data!F$2:F$35, (Inventory_Data!A$2:A$35&lt;&gt;"""") * IF(OR(I$1=""All Categories"", I$1=""""), 1, (Inventory_Data!C$2:C$35=I$1))), 10), 0)"),0.0)</f>
        <v>0</v>
      </c>
      <c r="M11" s="13">
        <f>IFERROR(__xludf.DUMMYFUNCTION("IFERROR(INDEX(FILTER(Inventory_Data!G$2:G$35, (Inventory_Data!A$2:A$35&lt;&gt;"""") * IF(OR(I$1=""All Categories"", I$1=""""), 1, (Inventory_Data!C$2:C$35=I$1))), 10), 0)"),0.0)</f>
        <v>0</v>
      </c>
      <c r="N11" s="7" t="str">
        <f>IFERROR(__xludf.DUMMYFUNCTION("IFERROR(INDEX(FILTER(Inventory_Data!K$2:K$35, (Inventory_Data!A$2:A$35&lt;&gt;"""") * IF(OR(I$1=""All Categories"", I$1=""""), 1, (Inventory_Data!C$2:C$35=I$1))), 10), ""-"")"),"-")</f>
        <v>-</v>
      </c>
      <c r="O11" s="7">
        <f>IF(K11="-", 0, IFERROR(SUMIF(Sales_Orders!D$2:D$35, K11, Sales_Orders!G$2:G$35), 0))</f>
        <v>0</v>
      </c>
    </row>
    <row r="12">
      <c r="P12" s="9" t="s">
        <v>3</v>
      </c>
      <c r="Q12" s="9" t="s">
        <v>196</v>
      </c>
      <c r="R12" s="9" t="s">
        <v>197</v>
      </c>
      <c r="S12" s="9" t="s">
        <v>199</v>
      </c>
      <c r="T12" s="9" t="s">
        <v>200</v>
      </c>
      <c r="U12" s="9" t="s">
        <v>24</v>
      </c>
    </row>
    <row r="13">
      <c r="P13" s="3" t="s">
        <v>21</v>
      </c>
      <c r="Q13" s="12">
        <f>SUMIFS(Sales_Orders!I$2:I$35, Sales_Orders!E$2:E$35, P13)</f>
        <v>13064.38</v>
      </c>
      <c r="R13" s="12">
        <f>SUMIFS(Sales_Orders!J$2:J$35, Sales_Orders!E$2:E$35, P13)</f>
        <v>6046.5</v>
      </c>
      <c r="S13" s="12">
        <f>SUMIFS(Sales_Orders!K$2:K$35, Sales_Orders!E$2:E$35, P13)</f>
        <v>7017.88</v>
      </c>
      <c r="T13" s="14">
        <f t="shared" ref="T13:T17" si="2">IF(Q13&gt;0, S13/Q13, 0)</f>
        <v>0.537176659</v>
      </c>
      <c r="U13" s="13">
        <f>SUMIFS(Sales_Orders!G$2:G$35, Sales_Orders!E$2:E$35, P13)</f>
        <v>202</v>
      </c>
    </row>
    <row r="14">
      <c r="P14" s="3" t="s">
        <v>41</v>
      </c>
      <c r="Q14" s="12">
        <f>SUMIFS(Sales_Orders!I$2:I$35, Sales_Orders!E$2:E$35, P14)</f>
        <v>8719.74</v>
      </c>
      <c r="R14" s="12">
        <f>SUMIFS(Sales_Orders!J$2:J$35, Sales_Orders!E$2:E$35, P14)</f>
        <v>3927</v>
      </c>
      <c r="S14" s="12">
        <f>SUMIFS(Sales_Orders!K$2:K$35, Sales_Orders!E$2:E$35, P14)</f>
        <v>4792.74</v>
      </c>
      <c r="T14" s="14">
        <f t="shared" si="2"/>
        <v>0.5496425352</v>
      </c>
      <c r="U14" s="13">
        <f>SUMIFS(Sales_Orders!G$2:G$35, Sales_Orders!E$2:E$35, P14)</f>
        <v>84</v>
      </c>
    </row>
    <row r="15">
      <c r="P15" s="3" t="s">
        <v>47</v>
      </c>
      <c r="Q15" s="12">
        <f>SUMIFS(Sales_Orders!I$2:I$35, Sales_Orders!E$2:E$35, P15)</f>
        <v>6505</v>
      </c>
      <c r="R15" s="12">
        <f>SUMIFS(Sales_Orders!J$2:J$35, Sales_Orders!E$2:E$35, P15)</f>
        <v>2443</v>
      </c>
      <c r="S15" s="12">
        <f>SUMIFS(Sales_Orders!K$2:K$35, Sales_Orders!E$2:E$35, P15)</f>
        <v>4062</v>
      </c>
      <c r="T15" s="14">
        <f t="shared" si="2"/>
        <v>0.6244427364</v>
      </c>
      <c r="U15" s="13">
        <f>SUMIFS(Sales_Orders!G$2:G$35, Sales_Orders!E$2:E$35, P15)</f>
        <v>179</v>
      </c>
    </row>
    <row r="16">
      <c r="P16" s="3" t="s">
        <v>52</v>
      </c>
      <c r="Q16" s="12">
        <f>SUMIFS(Sales_Orders!I$2:I$35, Sales_Orders!E$2:E$35, P16)</f>
        <v>7165.37</v>
      </c>
      <c r="R16" s="12">
        <f>SUMIFS(Sales_Orders!J$2:J$35, Sales_Orders!E$2:E$35, P16)</f>
        <v>2944</v>
      </c>
      <c r="S16" s="12">
        <f>SUMIFS(Sales_Orders!K$2:K$35, Sales_Orders!E$2:E$35, P16)</f>
        <v>4221.37</v>
      </c>
      <c r="T16" s="14">
        <f t="shared" si="2"/>
        <v>0.5891349644</v>
      </c>
      <c r="U16" s="13">
        <f>SUMIFS(Sales_Orders!G$2:G$35, Sales_Orders!E$2:E$35, P16)</f>
        <v>202</v>
      </c>
    </row>
    <row r="17">
      <c r="P17" s="3" t="s">
        <v>203</v>
      </c>
      <c r="Q17" s="12">
        <f t="shared" ref="Q17:S17" si="3">SUM(Q13:Q16)</f>
        <v>35454.49</v>
      </c>
      <c r="R17" s="12">
        <f t="shared" si="3"/>
        <v>15360.5</v>
      </c>
      <c r="S17" s="12">
        <f t="shared" si="3"/>
        <v>20093.99</v>
      </c>
      <c r="T17" s="14">
        <f t="shared" si="2"/>
        <v>0.5667544506</v>
      </c>
      <c r="U17" s="13">
        <f>SUM(U13:U16)</f>
        <v>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3" width="16.38"/>
    <col customWidth="1" min="4" max="4" width="20.13"/>
    <col customWidth="1" min="5" max="6" width="17.0"/>
    <col customWidth="1" min="7" max="7" width="5.13"/>
    <col customWidth="1" min="8" max="8" width="17.0"/>
    <col customWidth="1" min="9" max="9" width="22.63"/>
    <col customWidth="1" min="10" max="10" width="13.88"/>
    <col customWidth="1" min="11" max="11" width="12.0"/>
    <col customWidth="1" min="12" max="12" width="13.88"/>
    <col customWidth="1" min="13" max="13" width="12.0"/>
    <col customWidth="1" min="14" max="14" width="18.25"/>
    <col customWidth="1" min="15" max="15" width="17.0"/>
  </cols>
  <sheetData>
    <row r="1" ht="15.0" customHeight="1"/>
    <row r="2" ht="41.25" customHeight="1">
      <c r="B2" s="27" t="s">
        <v>204</v>
      </c>
    </row>
    <row r="3" ht="15.0" customHeight="1">
      <c r="B3" s="28" t="s">
        <v>205</v>
      </c>
      <c r="C3" s="29"/>
      <c r="D3" s="29"/>
      <c r="E3" s="29"/>
      <c r="F3" s="29"/>
      <c r="G3" s="29"/>
      <c r="H3" s="29"/>
      <c r="I3" s="29"/>
      <c r="J3" s="29"/>
      <c r="K3" s="29"/>
      <c r="L3" s="29"/>
    </row>
    <row r="9">
      <c r="B9" s="30" t="s">
        <v>206</v>
      </c>
      <c r="D9" s="31" t="s">
        <v>41</v>
      </c>
    </row>
    <row r="19">
      <c r="O19" s="32"/>
    </row>
    <row r="23">
      <c r="A23" s="33"/>
      <c r="B23" s="33"/>
      <c r="C23" s="33"/>
      <c r="D23" s="33"/>
      <c r="E23" s="33"/>
      <c r="F23" s="33"/>
      <c r="G23" s="33"/>
      <c r="H23" s="33"/>
    </row>
    <row r="24">
      <c r="A24" s="33"/>
      <c r="B24" s="33"/>
      <c r="C24" s="33"/>
      <c r="D24" s="33"/>
      <c r="E24" s="33"/>
      <c r="F24" s="33"/>
      <c r="G24" s="33"/>
      <c r="H24" s="33"/>
      <c r="I24" s="34" t="s">
        <v>207</v>
      </c>
    </row>
    <row r="25">
      <c r="A25" s="33"/>
      <c r="B25" s="35"/>
      <c r="C25" s="35"/>
      <c r="D25" s="35"/>
      <c r="E25" s="35"/>
      <c r="F25" s="35"/>
      <c r="G25" s="35"/>
      <c r="H25" s="35"/>
      <c r="I25" s="1" t="s">
        <v>2</v>
      </c>
      <c r="J25" s="1" t="s">
        <v>3</v>
      </c>
      <c r="K25" s="1" t="s">
        <v>24</v>
      </c>
      <c r="L25" s="1" t="s">
        <v>26</v>
      </c>
      <c r="M25" s="1" t="s">
        <v>13</v>
      </c>
      <c r="N25" s="1" t="s">
        <v>208</v>
      </c>
    </row>
    <row r="26">
      <c r="A26" s="33"/>
      <c r="B26" s="36"/>
      <c r="C26" s="36"/>
      <c r="D26" s="37"/>
      <c r="E26" s="36"/>
      <c r="F26" s="36"/>
      <c r="G26" s="37"/>
      <c r="H26" s="36"/>
      <c r="I26" s="38" t="s">
        <v>209</v>
      </c>
      <c r="J26" s="39" t="s">
        <v>21</v>
      </c>
      <c r="K26" s="40">
        <v>18.0</v>
      </c>
      <c r="L26" s="41">
        <v>2339.82</v>
      </c>
      <c r="M26" s="42">
        <v>0.5</v>
      </c>
      <c r="N26" s="43" t="s">
        <v>210</v>
      </c>
    </row>
    <row r="27">
      <c r="A27" s="33"/>
      <c r="B27" s="44"/>
      <c r="C27" s="44"/>
      <c r="D27" s="44"/>
      <c r="E27" s="44"/>
      <c r="F27" s="44"/>
      <c r="G27" s="44"/>
      <c r="H27" s="44"/>
      <c r="I27" s="45" t="s">
        <v>43</v>
      </c>
      <c r="J27" s="45" t="s">
        <v>41</v>
      </c>
      <c r="K27" s="46">
        <v>5.0</v>
      </c>
      <c r="L27" s="47">
        <v>1995.0</v>
      </c>
      <c r="M27" s="42">
        <v>0.536</v>
      </c>
      <c r="N27" s="43" t="s">
        <v>210</v>
      </c>
    </row>
    <row r="28">
      <c r="A28" s="33"/>
      <c r="B28" s="48"/>
      <c r="C28" s="48"/>
      <c r="D28" s="49"/>
      <c r="E28" s="48"/>
      <c r="F28" s="48"/>
      <c r="G28" s="49"/>
      <c r="H28" s="48"/>
      <c r="I28" s="39" t="s">
        <v>40</v>
      </c>
      <c r="J28" s="39" t="s">
        <v>41</v>
      </c>
      <c r="K28" s="50">
        <v>8.0</v>
      </c>
      <c r="L28" s="51">
        <v>1996.0</v>
      </c>
      <c r="M28" s="42">
        <v>0.559</v>
      </c>
      <c r="N28" s="43" t="s">
        <v>210</v>
      </c>
    </row>
    <row r="29">
      <c r="A29" s="33"/>
      <c r="B29" s="52"/>
      <c r="C29" s="52"/>
      <c r="D29" s="53"/>
      <c r="E29" s="52"/>
      <c r="F29" s="52"/>
      <c r="G29" s="53"/>
      <c r="H29" s="52"/>
      <c r="I29" s="45" t="s">
        <v>211</v>
      </c>
      <c r="J29" s="45" t="s">
        <v>21</v>
      </c>
      <c r="K29" s="46">
        <v>10.0</v>
      </c>
      <c r="L29" s="47">
        <v>1699.9</v>
      </c>
      <c r="M29" s="42">
        <v>0.518</v>
      </c>
      <c r="N29" s="54" t="s">
        <v>212</v>
      </c>
    </row>
    <row r="30">
      <c r="A30" s="33"/>
      <c r="B30" s="55"/>
      <c r="C30" s="55"/>
      <c r="D30" s="56"/>
      <c r="E30" s="55"/>
      <c r="F30" s="55"/>
      <c r="G30" s="56"/>
      <c r="H30" s="55"/>
      <c r="I30" s="39" t="s">
        <v>213</v>
      </c>
      <c r="J30" s="39" t="s">
        <v>41</v>
      </c>
      <c r="K30" s="50">
        <v>6.0</v>
      </c>
      <c r="L30" s="51">
        <v>1194.0</v>
      </c>
      <c r="M30" s="42">
        <v>0.523</v>
      </c>
      <c r="N30" s="54" t="s">
        <v>212</v>
      </c>
    </row>
    <row r="31">
      <c r="A31" s="33"/>
      <c r="B31" s="57"/>
      <c r="C31" s="57"/>
      <c r="D31" s="58"/>
      <c r="E31" s="57"/>
      <c r="F31" s="57"/>
      <c r="G31" s="58"/>
      <c r="H31" s="57"/>
      <c r="I31" s="59"/>
      <c r="J31" s="60"/>
      <c r="K31" s="59"/>
      <c r="L31" s="59"/>
    </row>
    <row r="32">
      <c r="A32" s="33"/>
      <c r="B32" s="57"/>
      <c r="C32" s="57"/>
      <c r="D32" s="58"/>
      <c r="E32" s="57"/>
      <c r="F32" s="57"/>
      <c r="G32" s="58"/>
      <c r="H32" s="57"/>
      <c r="I32" s="34" t="s">
        <v>214</v>
      </c>
    </row>
    <row r="33">
      <c r="A33" s="33"/>
      <c r="B33" s="61"/>
      <c r="C33" s="61"/>
      <c r="D33" s="61"/>
      <c r="E33" s="61"/>
      <c r="F33" s="61"/>
      <c r="G33" s="61"/>
      <c r="H33" s="61"/>
      <c r="I33" s="1" t="s">
        <v>134</v>
      </c>
      <c r="J33" s="1" t="s">
        <v>3</v>
      </c>
      <c r="K33" s="1" t="s">
        <v>215</v>
      </c>
      <c r="L33" s="1" t="s">
        <v>184</v>
      </c>
      <c r="M33" s="1" t="s">
        <v>216</v>
      </c>
      <c r="N33" s="1" t="s">
        <v>217</v>
      </c>
    </row>
    <row r="34">
      <c r="A34" s="33"/>
      <c r="B34" s="61"/>
      <c r="C34" s="61"/>
      <c r="D34" s="61"/>
      <c r="E34" s="61"/>
      <c r="F34" s="61"/>
      <c r="G34" s="61"/>
      <c r="H34" s="61"/>
      <c r="I34" s="62" t="s">
        <v>142</v>
      </c>
      <c r="J34" s="62" t="s">
        <v>21</v>
      </c>
      <c r="K34" s="62" t="s">
        <v>218</v>
      </c>
      <c r="L34" s="63">
        <v>0.965</v>
      </c>
      <c r="M34" s="62" t="s">
        <v>219</v>
      </c>
      <c r="N34" s="64" t="s">
        <v>220</v>
      </c>
    </row>
    <row r="35">
      <c r="A35" s="33"/>
      <c r="B35" s="33"/>
      <c r="C35" s="33"/>
      <c r="D35" s="33"/>
      <c r="E35" s="33"/>
      <c r="F35" s="33"/>
      <c r="G35" s="33"/>
      <c r="H35" s="33"/>
      <c r="I35" s="65" t="s">
        <v>146</v>
      </c>
      <c r="J35" s="65" t="s">
        <v>47</v>
      </c>
      <c r="K35" s="66" t="s">
        <v>221</v>
      </c>
      <c r="L35" s="42">
        <v>0.98</v>
      </c>
      <c r="M35" s="66" t="s">
        <v>222</v>
      </c>
      <c r="N35" s="43" t="s">
        <v>220</v>
      </c>
    </row>
    <row r="36">
      <c r="A36" s="33"/>
      <c r="B36" s="33"/>
      <c r="C36" s="33"/>
      <c r="D36" s="33"/>
      <c r="E36" s="33"/>
      <c r="F36" s="33"/>
      <c r="G36" s="33"/>
      <c r="H36" s="33"/>
      <c r="I36" s="65" t="s">
        <v>155</v>
      </c>
      <c r="J36" s="65" t="s">
        <v>47</v>
      </c>
      <c r="K36" s="66" t="s">
        <v>223</v>
      </c>
      <c r="L36" s="42">
        <v>0.975</v>
      </c>
      <c r="M36" s="66" t="s">
        <v>219</v>
      </c>
      <c r="N36" s="43" t="s">
        <v>220</v>
      </c>
    </row>
    <row r="37">
      <c r="A37" s="33"/>
      <c r="B37" s="33"/>
      <c r="C37" s="33"/>
      <c r="D37" s="33"/>
      <c r="E37" s="33"/>
      <c r="F37" s="33"/>
      <c r="G37" s="33"/>
      <c r="H37" s="33"/>
      <c r="I37" s="65" t="s">
        <v>150</v>
      </c>
      <c r="J37" s="65" t="s">
        <v>21</v>
      </c>
      <c r="K37" s="66" t="s">
        <v>224</v>
      </c>
      <c r="L37" s="42">
        <v>0.95</v>
      </c>
      <c r="M37" s="66" t="s">
        <v>225</v>
      </c>
      <c r="N37" s="43" t="s">
        <v>220</v>
      </c>
    </row>
    <row r="38">
      <c r="A38" s="33"/>
      <c r="B38" s="33"/>
      <c r="C38" s="33"/>
      <c r="D38" s="33"/>
      <c r="E38" s="33"/>
      <c r="F38" s="33"/>
      <c r="G38" s="33"/>
      <c r="H38" s="33"/>
      <c r="I38" s="65" t="s">
        <v>148</v>
      </c>
      <c r="J38" s="65" t="s">
        <v>52</v>
      </c>
      <c r="K38" s="66" t="s">
        <v>226</v>
      </c>
      <c r="L38" s="42">
        <v>0.94</v>
      </c>
      <c r="M38" s="66" t="s">
        <v>227</v>
      </c>
      <c r="N38" s="67" t="s">
        <v>228</v>
      </c>
    </row>
    <row r="39">
      <c r="A39" s="33"/>
      <c r="B39" s="33"/>
      <c r="C39" s="33"/>
      <c r="D39" s="33"/>
      <c r="E39" s="33"/>
      <c r="F39" s="33"/>
      <c r="G39" s="33"/>
      <c r="H39" s="33"/>
    </row>
    <row r="40">
      <c r="A40" s="33"/>
      <c r="B40" s="33"/>
      <c r="C40" s="33"/>
      <c r="D40" s="33"/>
      <c r="E40" s="33"/>
      <c r="F40" s="33"/>
      <c r="G40" s="33"/>
      <c r="H40" s="33"/>
    </row>
    <row r="41">
      <c r="A41" s="33"/>
      <c r="B41" s="33"/>
      <c r="C41" s="33"/>
      <c r="D41" s="33"/>
      <c r="E41" s="33"/>
      <c r="F41" s="33"/>
      <c r="G41" s="33"/>
      <c r="H41" s="33"/>
    </row>
    <row r="42">
      <c r="A42" s="33"/>
      <c r="B42" s="33"/>
      <c r="C42" s="33"/>
      <c r="D42" s="33"/>
      <c r="E42" s="33"/>
      <c r="F42" s="33"/>
      <c r="G42" s="33"/>
      <c r="H42" s="33"/>
    </row>
    <row r="43">
      <c r="A43" s="33"/>
      <c r="B43" s="33"/>
      <c r="C43" s="33"/>
      <c r="D43" s="33"/>
      <c r="E43" s="33"/>
      <c r="F43" s="33"/>
      <c r="G43" s="33"/>
      <c r="H43" s="33"/>
    </row>
    <row r="44">
      <c r="A44" s="33"/>
      <c r="B44" s="33"/>
      <c r="C44" s="33"/>
      <c r="D44" s="33"/>
      <c r="E44" s="33"/>
      <c r="F44" s="33"/>
      <c r="G44" s="33"/>
      <c r="H44" s="33"/>
    </row>
    <row r="45">
      <c r="A45" s="33"/>
      <c r="B45" s="33"/>
      <c r="C45" s="33"/>
      <c r="D45" s="33"/>
      <c r="E45" s="33"/>
      <c r="F45" s="33"/>
      <c r="G45" s="33"/>
      <c r="H45" s="33"/>
    </row>
  </sheetData>
  <mergeCells count="4">
    <mergeCell ref="B2:N2"/>
    <mergeCell ref="B9:C9"/>
    <mergeCell ref="I24:N24"/>
    <mergeCell ref="I32:N32"/>
  </mergeCells>
  <dataValidations>
    <dataValidation type="list" allowBlank="1" showErrorMessage="1" sqref="D9">
      <formula1>"All Categories,Electronics,Furniture,Apparel,Kitchenware"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3" width="12.63"/>
    <col customWidth="1" min="4" max="4" width="32.63"/>
    <col customWidth="1" min="5" max="6" width="15.13"/>
    <col customWidth="1" min="7" max="7" width="11.38"/>
    <col customWidth="1" min="8" max="11" width="13.88"/>
  </cols>
  <sheetData>
    <row r="1">
      <c r="A1" s="1" t="s">
        <v>11</v>
      </c>
      <c r="B1" s="1" t="s">
        <v>16</v>
      </c>
      <c r="C1" s="1" t="s">
        <v>0</v>
      </c>
      <c r="D1" s="1" t="s">
        <v>2</v>
      </c>
      <c r="E1" s="1" t="s">
        <v>3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>
      <c r="A2" s="3" t="s">
        <v>29</v>
      </c>
      <c r="B2" s="6">
        <v>46235.0</v>
      </c>
      <c r="C2" s="3" t="s">
        <v>18</v>
      </c>
      <c r="D2" s="7" t="str">
        <f>VLOOKUP(C2, Inventory_Data!A$2:C$35, 2, FALSE)</f>
        <v>Wireless Noise-Canceling Headphones</v>
      </c>
      <c r="E2" s="7" t="str">
        <f>VLOOKUP(C2, Inventory_Data!A$2:C$35, 3, FALSE)</f>
        <v>Electronics</v>
      </c>
      <c r="F2" s="3" t="s">
        <v>44</v>
      </c>
      <c r="G2" s="5">
        <v>18.0</v>
      </c>
      <c r="H2" s="8">
        <f>VLOOKUP(C2, Inventory_Data!A$2:E$35, 5, FALSE)</f>
        <v>129.99</v>
      </c>
      <c r="I2" s="8">
        <f t="shared" ref="I2:I35" si="1">G2*H2</f>
        <v>2339.82</v>
      </c>
      <c r="J2" s="8">
        <f>G2*VLOOKUP(C2, Inventory_Data!A$2:D$35, 4, FALSE)</f>
        <v>1170</v>
      </c>
      <c r="K2" s="8">
        <f t="shared" ref="K2:K35" si="2">I2-J2</f>
        <v>1169.82</v>
      </c>
    </row>
    <row r="3">
      <c r="A3" s="3" t="s">
        <v>64</v>
      </c>
      <c r="B3" s="6">
        <v>46236.0</v>
      </c>
      <c r="C3" s="3" t="s">
        <v>45</v>
      </c>
      <c r="D3" s="7" t="str">
        <f>VLOOKUP(C3, Inventory_Data!A$2:C$35, 2, FALSE)</f>
        <v>Organic Cotton T-Shirt</v>
      </c>
      <c r="E3" s="7" t="str">
        <f>VLOOKUP(C3, Inventory_Data!A$2:C$35, 3, FALSE)</f>
        <v>Apparel</v>
      </c>
      <c r="F3" s="3" t="s">
        <v>73</v>
      </c>
      <c r="G3" s="5">
        <v>45.0</v>
      </c>
      <c r="H3" s="8">
        <f>VLOOKUP(C3, Inventory_Data!A$2:E$35, 5, FALSE)</f>
        <v>24</v>
      </c>
      <c r="I3" s="8">
        <f t="shared" si="1"/>
        <v>1080</v>
      </c>
      <c r="J3" s="8">
        <f>G3*VLOOKUP(C3, Inventory_Data!A$2:D$35, 4, FALSE)</f>
        <v>369</v>
      </c>
      <c r="K3" s="8">
        <f t="shared" si="2"/>
        <v>711</v>
      </c>
    </row>
    <row r="4">
      <c r="A4" s="3" t="s">
        <v>80</v>
      </c>
      <c r="B4" s="6">
        <v>46237.0</v>
      </c>
      <c r="C4" s="3" t="s">
        <v>39</v>
      </c>
      <c r="D4" s="7" t="str">
        <f>VLOOKUP(C4, Inventory_Data!A$2:C$35, 2, FALSE)</f>
        <v>Ergonomic Office Chair</v>
      </c>
      <c r="E4" s="7" t="str">
        <f>VLOOKUP(C4, Inventory_Data!A$2:C$35, 3, FALSE)</f>
        <v>Furniture</v>
      </c>
      <c r="F4" s="3" t="s">
        <v>85</v>
      </c>
      <c r="G4" s="5">
        <v>8.0</v>
      </c>
      <c r="H4" s="8">
        <f>VLOOKUP(C4, Inventory_Data!A$2:E$35, 5, FALSE)</f>
        <v>249.5</v>
      </c>
      <c r="I4" s="8">
        <f t="shared" si="1"/>
        <v>1996</v>
      </c>
      <c r="J4" s="8">
        <f>G4*VLOOKUP(C4, Inventory_Data!A$2:D$35, 4, FALSE)</f>
        <v>880</v>
      </c>
      <c r="K4" s="8">
        <f t="shared" si="2"/>
        <v>1116</v>
      </c>
    </row>
    <row r="5">
      <c r="A5" s="3" t="s">
        <v>92</v>
      </c>
      <c r="B5" s="6">
        <v>46239.0</v>
      </c>
      <c r="C5" s="3" t="s">
        <v>50</v>
      </c>
      <c r="D5" s="7" t="str">
        <f>VLOOKUP(C5, Inventory_Data!A$2:C$35, 2, FALSE)</f>
        <v>Ceramic Pour-Over Coffee Maker</v>
      </c>
      <c r="E5" s="7" t="str">
        <f>VLOOKUP(C5, Inventory_Data!A$2:C$35, 3, FALSE)</f>
        <v>Kitchenware</v>
      </c>
      <c r="F5" s="3" t="s">
        <v>44</v>
      </c>
      <c r="G5" s="5">
        <v>22.0</v>
      </c>
      <c r="H5" s="8">
        <f>VLOOKUP(C5, Inventory_Data!A$2:E$35, 5, FALSE)</f>
        <v>36</v>
      </c>
      <c r="I5" s="8">
        <f t="shared" si="1"/>
        <v>792</v>
      </c>
      <c r="J5" s="8">
        <f>G5*VLOOKUP(C5, Inventory_Data!A$2:D$35, 4, FALSE)</f>
        <v>319</v>
      </c>
      <c r="K5" s="8">
        <f t="shared" si="2"/>
        <v>473</v>
      </c>
    </row>
    <row r="6">
      <c r="A6" s="3" t="s">
        <v>103</v>
      </c>
      <c r="B6" s="6">
        <v>46240.0</v>
      </c>
      <c r="C6" s="3" t="s">
        <v>58</v>
      </c>
      <c r="D6" s="7" t="str">
        <f>VLOOKUP(C6, Inventory_Data!A$2:C$35, 2, FALSE)</f>
        <v>Ultra-Fast USB-C Charging Hub</v>
      </c>
      <c r="E6" s="7" t="str">
        <f>VLOOKUP(C6, Inventory_Data!A$2:C$35, 3, FALSE)</f>
        <v>Electronics</v>
      </c>
      <c r="F6" s="3" t="s">
        <v>73</v>
      </c>
      <c r="G6" s="5">
        <v>35.0</v>
      </c>
      <c r="H6" s="8">
        <f>VLOOKUP(C6, Inventory_Data!A$2:E$35, 5, FALSE)</f>
        <v>29.99</v>
      </c>
      <c r="I6" s="8">
        <f t="shared" si="1"/>
        <v>1049.65</v>
      </c>
      <c r="J6" s="8">
        <f>G6*VLOOKUP(C6, Inventory_Data!A$2:D$35, 4, FALSE)</f>
        <v>437.5</v>
      </c>
      <c r="K6" s="8">
        <f t="shared" si="2"/>
        <v>612.15</v>
      </c>
    </row>
    <row r="7">
      <c r="A7" s="3" t="s">
        <v>114</v>
      </c>
      <c r="B7" s="6">
        <v>46242.0</v>
      </c>
      <c r="C7" s="3" t="s">
        <v>42</v>
      </c>
      <c r="D7" s="7" t="str">
        <f>VLOOKUP(C7, Inventory_Data!A$2:C$35, 2, FALSE)</f>
        <v>Motorized Standing Desk</v>
      </c>
      <c r="E7" s="7" t="str">
        <f>VLOOKUP(C7, Inventory_Data!A$2:C$35, 3, FALSE)</f>
        <v>Furniture</v>
      </c>
      <c r="F7" s="3" t="s">
        <v>85</v>
      </c>
      <c r="G7" s="5">
        <v>5.0</v>
      </c>
      <c r="H7" s="8">
        <f>VLOOKUP(C7, Inventory_Data!A$2:E$35, 5, FALSE)</f>
        <v>399</v>
      </c>
      <c r="I7" s="8">
        <f t="shared" si="1"/>
        <v>1995</v>
      </c>
      <c r="J7" s="8">
        <f>G7*VLOOKUP(C7, Inventory_Data!A$2:D$35, 4, FALSE)</f>
        <v>925</v>
      </c>
      <c r="K7" s="8">
        <f t="shared" si="2"/>
        <v>1070</v>
      </c>
    </row>
    <row r="8">
      <c r="A8" s="3" t="s">
        <v>118</v>
      </c>
      <c r="B8" s="6">
        <v>46243.0</v>
      </c>
      <c r="C8" s="3" t="s">
        <v>48</v>
      </c>
      <c r="D8" s="7" t="str">
        <f>VLOOKUP(C8, Inventory_Data!A$2:C$35, 2, FALSE)</f>
        <v>Waterproof Trail Jacket</v>
      </c>
      <c r="E8" s="7" t="str">
        <f>VLOOKUP(C8, Inventory_Data!A$2:C$35, 3, FALSE)</f>
        <v>Apparel</v>
      </c>
      <c r="F8" s="3" t="s">
        <v>119</v>
      </c>
      <c r="G8" s="5">
        <v>14.0</v>
      </c>
      <c r="H8" s="8">
        <f>VLOOKUP(C8, Inventory_Data!A$2:E$35, 5, FALSE)</f>
        <v>85</v>
      </c>
      <c r="I8" s="8">
        <f t="shared" si="1"/>
        <v>1190</v>
      </c>
      <c r="J8" s="8">
        <f>G8*VLOOKUP(C8, Inventory_Data!A$2:D$35, 4, FALSE)</f>
        <v>476</v>
      </c>
      <c r="K8" s="8">
        <f t="shared" si="2"/>
        <v>714</v>
      </c>
    </row>
    <row r="9">
      <c r="A9" s="3" t="s">
        <v>120</v>
      </c>
      <c r="B9" s="6">
        <v>46245.0</v>
      </c>
      <c r="C9" s="3" t="s">
        <v>53</v>
      </c>
      <c r="D9" s="7" t="str">
        <f>VLOOKUP(C9, Inventory_Data!A$2:C$35, 2, FALSE)</f>
        <v>Cast Iron Skillet 12-inch</v>
      </c>
      <c r="E9" s="7" t="str">
        <f>VLOOKUP(C9, Inventory_Data!A$2:C$35, 3, FALSE)</f>
        <v>Kitchenware</v>
      </c>
      <c r="F9" s="3" t="s">
        <v>44</v>
      </c>
      <c r="G9" s="5">
        <v>16.0</v>
      </c>
      <c r="H9" s="8">
        <f>VLOOKUP(C9, Inventory_Data!A$2:E$35, 5, FALSE)</f>
        <v>49.99</v>
      </c>
      <c r="I9" s="8">
        <f t="shared" si="1"/>
        <v>799.84</v>
      </c>
      <c r="J9" s="8">
        <f>G9*VLOOKUP(C9, Inventory_Data!A$2:D$35, 4, FALSE)</f>
        <v>352</v>
      </c>
      <c r="K9" s="8">
        <f t="shared" si="2"/>
        <v>447.84</v>
      </c>
    </row>
    <row r="10">
      <c r="A10" s="3" t="s">
        <v>122</v>
      </c>
      <c r="B10" s="6">
        <v>46246.0</v>
      </c>
      <c r="C10" s="3" t="s">
        <v>37</v>
      </c>
      <c r="D10" s="7" t="str">
        <f>VLOOKUP(C10, Inventory_Data!A$2:C$35, 2, FALSE)</f>
        <v>Mechanical Gaming Keyboard</v>
      </c>
      <c r="E10" s="7" t="str">
        <f>VLOOKUP(C10, Inventory_Data!A$2:C$35, 3, FALSE)</f>
        <v>Electronics</v>
      </c>
      <c r="F10" s="3" t="s">
        <v>44</v>
      </c>
      <c r="G10" s="5">
        <v>20.0</v>
      </c>
      <c r="H10" s="8">
        <f>VLOOKUP(C10, Inventory_Data!A$2:E$35, 5, FALSE)</f>
        <v>89.99</v>
      </c>
      <c r="I10" s="8">
        <f t="shared" si="1"/>
        <v>1799.8</v>
      </c>
      <c r="J10" s="8">
        <f>G10*VLOOKUP(C10, Inventory_Data!A$2:D$35, 4, FALSE)</f>
        <v>910</v>
      </c>
      <c r="K10" s="8">
        <f t="shared" si="2"/>
        <v>889.8</v>
      </c>
    </row>
    <row r="11">
      <c r="A11" s="3" t="s">
        <v>123</v>
      </c>
      <c r="B11" s="6">
        <v>46248.0</v>
      </c>
      <c r="C11" s="3" t="s">
        <v>60</v>
      </c>
      <c r="D11" s="7" t="str">
        <f>VLOOKUP(C11, Inventory_Data!A$2:C$35, 2, FALSE)</f>
        <v>Solid Oak Bookshelf 5-Tier</v>
      </c>
      <c r="E11" s="7" t="str">
        <f>VLOOKUP(C11, Inventory_Data!A$2:C$35, 3, FALSE)</f>
        <v>Furniture</v>
      </c>
      <c r="F11" s="3" t="s">
        <v>85</v>
      </c>
      <c r="G11" s="5">
        <v>6.0</v>
      </c>
      <c r="H11" s="8">
        <f>VLOOKUP(C11, Inventory_Data!A$2:E$35, 5, FALSE)</f>
        <v>199</v>
      </c>
      <c r="I11" s="8">
        <f t="shared" si="1"/>
        <v>1194</v>
      </c>
      <c r="J11" s="8">
        <f>G11*VLOOKUP(C11, Inventory_Data!A$2:D$35, 4, FALSE)</f>
        <v>570</v>
      </c>
      <c r="K11" s="8">
        <f t="shared" si="2"/>
        <v>624</v>
      </c>
    </row>
    <row r="12">
      <c r="A12" s="3" t="s">
        <v>125</v>
      </c>
      <c r="B12" s="6">
        <v>46249.0</v>
      </c>
      <c r="C12" s="3" t="s">
        <v>81</v>
      </c>
      <c r="D12" s="7" t="str">
        <f>VLOOKUP(C12, Inventory_Data!A$2:C$35, 2, FALSE)</f>
        <v>Breathable Yoga Pants</v>
      </c>
      <c r="E12" s="7" t="str">
        <f>VLOOKUP(C12, Inventory_Data!A$2:C$35, 3, FALSE)</f>
        <v>Apparel</v>
      </c>
      <c r="F12" s="3" t="s">
        <v>119</v>
      </c>
      <c r="G12" s="5">
        <v>28.0</v>
      </c>
      <c r="H12" s="8">
        <f>VLOOKUP(C12, Inventory_Data!A$2:E$35, 5, FALSE)</f>
        <v>42</v>
      </c>
      <c r="I12" s="8">
        <f t="shared" si="1"/>
        <v>1176</v>
      </c>
      <c r="J12" s="8">
        <f>G12*VLOOKUP(C12, Inventory_Data!A$2:D$35, 4, FALSE)</f>
        <v>392</v>
      </c>
      <c r="K12" s="8">
        <f t="shared" si="2"/>
        <v>784</v>
      </c>
    </row>
    <row r="13">
      <c r="A13" s="3" t="s">
        <v>127</v>
      </c>
      <c r="B13" s="6">
        <v>46251.0</v>
      </c>
      <c r="C13" s="3" t="s">
        <v>83</v>
      </c>
      <c r="D13" s="7" t="str">
        <f>VLOOKUP(C13, Inventory_Data!A$2:C$35, 2, FALSE)</f>
        <v>Insulated Stainless Tumbler 32oz</v>
      </c>
      <c r="E13" s="7" t="str">
        <f>VLOOKUP(C13, Inventory_Data!A$2:C$35, 3, FALSE)</f>
        <v>Kitchenware</v>
      </c>
      <c r="F13" s="3" t="s">
        <v>73</v>
      </c>
      <c r="G13" s="5">
        <v>40.0</v>
      </c>
      <c r="H13" s="8">
        <f>VLOOKUP(C13, Inventory_Data!A$2:E$35, 5, FALSE)</f>
        <v>24.99</v>
      </c>
      <c r="I13" s="8">
        <f t="shared" si="1"/>
        <v>999.6</v>
      </c>
      <c r="J13" s="8">
        <f>G13*VLOOKUP(C13, Inventory_Data!A$2:D$35, 4, FALSE)</f>
        <v>380</v>
      </c>
      <c r="K13" s="8">
        <f t="shared" si="2"/>
        <v>619.6</v>
      </c>
    </row>
    <row r="14">
      <c r="A14" s="3" t="s">
        <v>129</v>
      </c>
      <c r="B14" s="6">
        <v>46252.0</v>
      </c>
      <c r="C14" s="3" t="s">
        <v>76</v>
      </c>
      <c r="D14" s="7" t="str">
        <f>VLOOKUP(C14, Inventory_Data!A$2:C$35, 2, FALSE)</f>
        <v>True Wireless Sport Earbuds</v>
      </c>
      <c r="E14" s="7" t="str">
        <f>VLOOKUP(C14, Inventory_Data!A$2:C$35, 3, FALSE)</f>
        <v>Electronics</v>
      </c>
      <c r="F14" s="3" t="s">
        <v>44</v>
      </c>
      <c r="G14" s="5">
        <v>25.0</v>
      </c>
      <c r="H14" s="8">
        <f>VLOOKUP(C14, Inventory_Data!A$2:E$35, 5, FALSE)</f>
        <v>59.99</v>
      </c>
      <c r="I14" s="8">
        <f t="shared" si="1"/>
        <v>1499.75</v>
      </c>
      <c r="J14" s="8">
        <f>G14*VLOOKUP(C14, Inventory_Data!A$2:D$35, 4, FALSE)</f>
        <v>600</v>
      </c>
      <c r="K14" s="8">
        <f t="shared" si="2"/>
        <v>899.75</v>
      </c>
    </row>
    <row r="15">
      <c r="A15" s="3" t="s">
        <v>131</v>
      </c>
      <c r="B15" s="6">
        <v>46254.0</v>
      </c>
      <c r="C15" s="3" t="s">
        <v>65</v>
      </c>
      <c r="D15" s="7" t="str">
        <f>VLOOKUP(C15, Inventory_Data!A$2:C$35, 2, FALSE)</f>
        <v>Athletic Running Shoes</v>
      </c>
      <c r="E15" s="7" t="str">
        <f>VLOOKUP(C15, Inventory_Data!A$2:C$35, 3, FALSE)</f>
        <v>Apparel</v>
      </c>
      <c r="F15" s="3" t="s">
        <v>119</v>
      </c>
      <c r="G15" s="5">
        <v>15.0</v>
      </c>
      <c r="H15" s="8">
        <f>VLOOKUP(C15, Inventory_Data!A$2:E$35, 5, FALSE)</f>
        <v>75</v>
      </c>
      <c r="I15" s="8">
        <f t="shared" si="1"/>
        <v>1125</v>
      </c>
      <c r="J15" s="8">
        <f>G15*VLOOKUP(C15, Inventory_Data!A$2:D$35, 4, FALSE)</f>
        <v>427.5</v>
      </c>
      <c r="K15" s="8">
        <f t="shared" si="2"/>
        <v>697.5</v>
      </c>
    </row>
    <row r="16">
      <c r="A16" s="3" t="s">
        <v>132</v>
      </c>
      <c r="B16" s="6">
        <v>46255.0</v>
      </c>
      <c r="C16" s="3" t="s">
        <v>74</v>
      </c>
      <c r="D16" s="7" t="str">
        <f>VLOOKUP(C16, Inventory_Data!A$2:C$35, 2, FALSE)</f>
        <v>4K Ultra HD Action Camera</v>
      </c>
      <c r="E16" s="7" t="str">
        <f>VLOOKUP(C16, Inventory_Data!A$2:C$35, 3, FALSE)</f>
        <v>Electronics</v>
      </c>
      <c r="F16" s="3" t="s">
        <v>44</v>
      </c>
      <c r="G16" s="5">
        <v>10.0</v>
      </c>
      <c r="H16" s="8">
        <f>VLOOKUP(C16, Inventory_Data!A$2:E$35, 5, FALSE)</f>
        <v>169.99</v>
      </c>
      <c r="I16" s="8">
        <f t="shared" si="1"/>
        <v>1699.9</v>
      </c>
      <c r="J16" s="8">
        <f>G16*VLOOKUP(C16, Inventory_Data!A$2:D$35, 4, FALSE)</f>
        <v>820</v>
      </c>
      <c r="K16" s="8">
        <f t="shared" si="2"/>
        <v>879.9</v>
      </c>
    </row>
    <row r="17">
      <c r="A17" s="3" t="s">
        <v>151</v>
      </c>
      <c r="B17" s="6">
        <v>46257.0</v>
      </c>
      <c r="C17" s="3" t="s">
        <v>86</v>
      </c>
      <c r="D17" s="7" t="str">
        <f>VLOOKUP(C17, Inventory_Data!A$2:C$35, 2, FALSE)</f>
        <v>Premium French Press Maker</v>
      </c>
      <c r="E17" s="7" t="str">
        <f>VLOOKUP(C17, Inventory_Data!A$2:C$35, 3, FALSE)</f>
        <v>Kitchenware</v>
      </c>
      <c r="F17" s="3" t="s">
        <v>44</v>
      </c>
      <c r="G17" s="5">
        <v>18.0</v>
      </c>
      <c r="H17" s="8">
        <f>VLOOKUP(C17, Inventory_Data!A$2:E$35, 5, FALSE)</f>
        <v>34.99</v>
      </c>
      <c r="I17" s="8">
        <f t="shared" si="1"/>
        <v>629.82</v>
      </c>
      <c r="J17" s="8">
        <f>G17*VLOOKUP(C17, Inventory_Data!A$2:D$35, 4, FALSE)</f>
        <v>270</v>
      </c>
      <c r="K17" s="8">
        <f t="shared" si="2"/>
        <v>359.82</v>
      </c>
    </row>
    <row r="18">
      <c r="A18" s="3" t="s">
        <v>161</v>
      </c>
      <c r="B18" s="6">
        <v>46258.0</v>
      </c>
      <c r="C18" s="3" t="s">
        <v>93</v>
      </c>
      <c r="D18" s="7" t="str">
        <f>VLOOKUP(C18, Inventory_Data!A$2:C$35, 2, FALSE)</f>
        <v>Ergonomic Mouse &amp; Mousepad Set</v>
      </c>
      <c r="E18" s="7" t="str">
        <f>VLOOKUP(C18, Inventory_Data!A$2:C$35, 3, FALSE)</f>
        <v>Electronics</v>
      </c>
      <c r="F18" s="3" t="s">
        <v>73</v>
      </c>
      <c r="G18" s="5">
        <v>30.0</v>
      </c>
      <c r="H18" s="8">
        <f>VLOOKUP(C18, Inventory_Data!A$2:E$35, 5, FALSE)</f>
        <v>39.99</v>
      </c>
      <c r="I18" s="8">
        <f t="shared" si="1"/>
        <v>1199.7</v>
      </c>
      <c r="J18" s="8">
        <f>G18*VLOOKUP(C18, Inventory_Data!A$2:D$35, 4, FALSE)</f>
        <v>555</v>
      </c>
      <c r="K18" s="8">
        <f t="shared" si="2"/>
        <v>644.7</v>
      </c>
    </row>
    <row r="19">
      <c r="A19" s="3" t="s">
        <v>163</v>
      </c>
      <c r="B19" s="6">
        <v>46260.0</v>
      </c>
      <c r="C19" s="3" t="s">
        <v>62</v>
      </c>
      <c r="D19" s="7" t="str">
        <f>VLOOKUP(C19, Inventory_Data!A$2:C$35, 2, FALSE)</f>
        <v>Modern Minimalist Desk Lamp</v>
      </c>
      <c r="E19" s="7" t="str">
        <f>VLOOKUP(C19, Inventory_Data!A$2:C$35, 3, FALSE)</f>
        <v>Furniture</v>
      </c>
      <c r="F19" s="3" t="s">
        <v>85</v>
      </c>
      <c r="G19" s="5">
        <v>12.0</v>
      </c>
      <c r="H19" s="8">
        <f>VLOOKUP(C19, Inventory_Data!A$2:E$35, 5, FALSE)</f>
        <v>42</v>
      </c>
      <c r="I19" s="8">
        <f t="shared" si="1"/>
        <v>504</v>
      </c>
      <c r="J19" s="8">
        <f>G19*VLOOKUP(C19, Inventory_Data!A$2:D$35, 4, FALSE)</f>
        <v>216</v>
      </c>
      <c r="K19" s="8">
        <f t="shared" si="2"/>
        <v>288</v>
      </c>
    </row>
    <row r="20">
      <c r="A20" s="3" t="s">
        <v>164</v>
      </c>
      <c r="B20" s="6">
        <v>46261.0</v>
      </c>
      <c r="C20" s="3" t="s">
        <v>78</v>
      </c>
      <c r="D20" s="7" t="str">
        <f>VLOOKUP(C20, Inventory_Data!A$2:C$35, 2, FALSE)</f>
        <v>Adjustable Laptop Riser</v>
      </c>
      <c r="E20" s="7" t="str">
        <f>VLOOKUP(C20, Inventory_Data!A$2:C$35, 3, FALSE)</f>
        <v>Furniture</v>
      </c>
      <c r="F20" s="3" t="s">
        <v>44</v>
      </c>
      <c r="G20" s="5">
        <v>22.0</v>
      </c>
      <c r="H20" s="8">
        <f>VLOOKUP(C20, Inventory_Data!A$2:E$35, 5, FALSE)</f>
        <v>38</v>
      </c>
      <c r="I20" s="8">
        <f t="shared" si="1"/>
        <v>836</v>
      </c>
      <c r="J20" s="8">
        <f>G20*VLOOKUP(C20, Inventory_Data!A$2:D$35, 4, FALSE)</f>
        <v>352</v>
      </c>
      <c r="K20" s="8">
        <f t="shared" si="2"/>
        <v>484</v>
      </c>
    </row>
    <row r="21">
      <c r="A21" s="3" t="s">
        <v>167</v>
      </c>
      <c r="B21" s="6">
        <v>46263.0</v>
      </c>
      <c r="C21" s="3" t="s">
        <v>108</v>
      </c>
      <c r="D21" s="7" t="str">
        <f>VLOOKUP(C21, Inventory_Data!A$2:C$35, 2, FALSE)</f>
        <v>Electric Milk Frother &amp; Whisk</v>
      </c>
      <c r="E21" s="7" t="str">
        <f>VLOOKUP(C21, Inventory_Data!A$2:C$35, 3, FALSE)</f>
        <v>Kitchenware</v>
      </c>
      <c r="F21" s="3" t="s">
        <v>73</v>
      </c>
      <c r="G21" s="5">
        <v>32.0</v>
      </c>
      <c r="H21" s="8">
        <f>VLOOKUP(C21, Inventory_Data!A$2:E$35, 5, FALSE)</f>
        <v>21.99</v>
      </c>
      <c r="I21" s="8">
        <f t="shared" si="1"/>
        <v>703.68</v>
      </c>
      <c r="J21" s="8">
        <f>G21*VLOOKUP(C21, Inventory_Data!A$2:D$35, 4, FALSE)</f>
        <v>272</v>
      </c>
      <c r="K21" s="8">
        <f t="shared" si="2"/>
        <v>431.68</v>
      </c>
    </row>
    <row r="22">
      <c r="A22" s="3" t="s">
        <v>170</v>
      </c>
      <c r="B22" s="6">
        <v>46264.0</v>
      </c>
      <c r="C22" s="3" t="s">
        <v>88</v>
      </c>
      <c r="D22" s="7" t="str">
        <f>VLOOKUP(C22, Inventory_Data!A$2:C$35, 2, FALSE)</f>
        <v>Compact Bluetooth Speaker</v>
      </c>
      <c r="E22" s="7" t="str">
        <f>VLOOKUP(C22, Inventory_Data!A$2:C$35, 3, FALSE)</f>
        <v>Electronics</v>
      </c>
      <c r="F22" s="3" t="s">
        <v>119</v>
      </c>
      <c r="G22" s="5">
        <v>16.0</v>
      </c>
      <c r="H22" s="8">
        <f>VLOOKUP(C22, Inventory_Data!A$2:E$35, 5, FALSE)</f>
        <v>45</v>
      </c>
      <c r="I22" s="8">
        <f t="shared" si="1"/>
        <v>720</v>
      </c>
      <c r="J22" s="8">
        <f>G22*VLOOKUP(C22, Inventory_Data!A$2:D$35, 4, FALSE)</f>
        <v>304</v>
      </c>
      <c r="K22" s="8">
        <f t="shared" si="2"/>
        <v>416</v>
      </c>
    </row>
    <row r="23">
      <c r="A23" s="3" t="s">
        <v>171</v>
      </c>
      <c r="B23" s="6">
        <v>46267.0</v>
      </c>
      <c r="C23" s="3" t="s">
        <v>55</v>
      </c>
      <c r="D23" s="7" t="str">
        <f>VLOOKUP(C23, Inventory_Data!A$2:C$35, 2, FALSE)</f>
        <v>Smart Fitness Tracker Watch</v>
      </c>
      <c r="E23" s="7" t="str">
        <f>VLOOKUP(C23, Inventory_Data!A$2:C$35, 3, FALSE)</f>
        <v>Electronics</v>
      </c>
      <c r="F23" s="3" t="s">
        <v>44</v>
      </c>
      <c r="G23" s="5">
        <v>14.0</v>
      </c>
      <c r="H23" s="8">
        <f>VLOOKUP(C23, Inventory_Data!A$2:E$35, 5, FALSE)</f>
        <v>79.99</v>
      </c>
      <c r="I23" s="8">
        <f t="shared" si="1"/>
        <v>1119.86</v>
      </c>
      <c r="J23" s="8">
        <f>G23*VLOOKUP(C23, Inventory_Data!A$2:D$35, 4, FALSE)</f>
        <v>532</v>
      </c>
      <c r="K23" s="8">
        <f t="shared" si="2"/>
        <v>587.86</v>
      </c>
    </row>
    <row r="24">
      <c r="A24" s="3" t="s">
        <v>176</v>
      </c>
      <c r="B24" s="6">
        <v>46269.0</v>
      </c>
      <c r="C24" s="3" t="s">
        <v>96</v>
      </c>
      <c r="D24" s="7" t="str">
        <f>VLOOKUP(C24, Inventory_Data!A$2:C$35, 2, FALSE)</f>
        <v>Dual Monitor Adjustable Arm</v>
      </c>
      <c r="E24" s="7" t="str">
        <f>VLOOKUP(C24, Inventory_Data!A$2:C$35, 3, FALSE)</f>
        <v>Furniture</v>
      </c>
      <c r="F24" s="3" t="s">
        <v>85</v>
      </c>
      <c r="G24" s="5">
        <v>8.0</v>
      </c>
      <c r="H24" s="8">
        <f>VLOOKUP(C24, Inventory_Data!A$2:E$35, 5, FALSE)</f>
        <v>89.99</v>
      </c>
      <c r="I24" s="8">
        <f t="shared" si="1"/>
        <v>719.92</v>
      </c>
      <c r="J24" s="8">
        <f>G24*VLOOKUP(C24, Inventory_Data!A$2:D$35, 4, FALSE)</f>
        <v>336</v>
      </c>
      <c r="K24" s="8">
        <f t="shared" si="2"/>
        <v>383.92</v>
      </c>
    </row>
    <row r="25">
      <c r="A25" s="3" t="s">
        <v>177</v>
      </c>
      <c r="B25" s="6">
        <v>46271.0</v>
      </c>
      <c r="C25" s="3" t="s">
        <v>101</v>
      </c>
      <c r="D25" s="7" t="str">
        <f>VLOOKUP(C25, Inventory_Data!A$2:C$35, 2, FALSE)</f>
        <v>Breathable Running Shorts</v>
      </c>
      <c r="E25" s="7" t="str">
        <f>VLOOKUP(C25, Inventory_Data!A$2:C$35, 3, FALSE)</f>
        <v>Apparel</v>
      </c>
      <c r="F25" s="3" t="s">
        <v>119</v>
      </c>
      <c r="G25" s="5">
        <v>26.0</v>
      </c>
      <c r="H25" s="8">
        <f>VLOOKUP(C25, Inventory_Data!A$2:E$35, 5, FALSE)</f>
        <v>28</v>
      </c>
      <c r="I25" s="8">
        <f t="shared" si="1"/>
        <v>728</v>
      </c>
      <c r="J25" s="8">
        <f>G25*VLOOKUP(C25, Inventory_Data!A$2:D$35, 4, FALSE)</f>
        <v>312</v>
      </c>
      <c r="K25" s="8">
        <f t="shared" si="2"/>
        <v>416</v>
      </c>
    </row>
    <row r="26">
      <c r="A26" s="3" t="s">
        <v>181</v>
      </c>
      <c r="B26" s="6">
        <v>46273.0</v>
      </c>
      <c r="C26" s="3" t="s">
        <v>69</v>
      </c>
      <c r="D26" s="7" t="str">
        <f>VLOOKUP(C26, Inventory_Data!A$2:C$35, 2, FALSE)</f>
        <v>Chef Japanese Santoku Knife</v>
      </c>
      <c r="E26" s="7" t="str">
        <f>VLOOKUP(C26, Inventory_Data!A$2:C$35, 3, FALSE)</f>
        <v>Kitchenware</v>
      </c>
      <c r="F26" s="3" t="s">
        <v>44</v>
      </c>
      <c r="G26" s="5">
        <v>12.0</v>
      </c>
      <c r="H26" s="8">
        <f>VLOOKUP(C26, Inventory_Data!A$2:E$35, 5, FALSE)</f>
        <v>79</v>
      </c>
      <c r="I26" s="8">
        <f t="shared" si="1"/>
        <v>948</v>
      </c>
      <c r="J26" s="8">
        <f>G26*VLOOKUP(C26, Inventory_Data!A$2:D$35, 4, FALSE)</f>
        <v>384</v>
      </c>
      <c r="K26" s="8">
        <f t="shared" si="2"/>
        <v>564</v>
      </c>
    </row>
    <row r="27">
      <c r="A27" s="3" t="s">
        <v>182</v>
      </c>
      <c r="B27" s="6">
        <v>46275.0</v>
      </c>
      <c r="C27" s="3" t="s">
        <v>71</v>
      </c>
      <c r="D27" s="7" t="str">
        <f>VLOOKUP(C27, Inventory_Data!A$2:C$35, 2, FALSE)</f>
        <v>Silicone Kitchen Utensil Set</v>
      </c>
      <c r="E27" s="7" t="str">
        <f>VLOOKUP(C27, Inventory_Data!A$2:C$35, 3, FALSE)</f>
        <v>Kitchenware</v>
      </c>
      <c r="F27" s="3" t="s">
        <v>73</v>
      </c>
      <c r="G27" s="5">
        <v>25.0</v>
      </c>
      <c r="H27" s="8">
        <f>VLOOKUP(C27, Inventory_Data!A$2:E$35, 5, FALSE)</f>
        <v>27.5</v>
      </c>
      <c r="I27" s="8">
        <f t="shared" si="1"/>
        <v>687.5</v>
      </c>
      <c r="J27" s="8">
        <f>G27*VLOOKUP(C27, Inventory_Data!A$2:D$35, 4, FALSE)</f>
        <v>275</v>
      </c>
      <c r="K27" s="8">
        <f t="shared" si="2"/>
        <v>412.5</v>
      </c>
    </row>
    <row r="28">
      <c r="A28" s="3" t="s">
        <v>186</v>
      </c>
      <c r="B28" s="6">
        <v>46277.0</v>
      </c>
      <c r="C28" s="3" t="s">
        <v>110</v>
      </c>
      <c r="D28" s="7" t="str">
        <f>VLOOKUP(C28, Inventory_Data!A$2:C$35, 2, FALSE)</f>
        <v>4K Ultra HD Webcam with Mic</v>
      </c>
      <c r="E28" s="7" t="str">
        <f>VLOOKUP(C28, Inventory_Data!A$2:C$35, 3, FALSE)</f>
        <v>Electronics</v>
      </c>
      <c r="F28" s="3" t="s">
        <v>85</v>
      </c>
      <c r="G28" s="5">
        <v>10.0</v>
      </c>
      <c r="H28" s="8">
        <f>VLOOKUP(C28, Inventory_Data!A$2:E$35, 5, FALSE)</f>
        <v>69.99</v>
      </c>
      <c r="I28" s="8">
        <f t="shared" si="1"/>
        <v>699.9</v>
      </c>
      <c r="J28" s="8">
        <f>G28*VLOOKUP(C28, Inventory_Data!A$2:D$35, 4, FALSE)</f>
        <v>310</v>
      </c>
      <c r="K28" s="8">
        <f t="shared" si="2"/>
        <v>389.9</v>
      </c>
    </row>
    <row r="29">
      <c r="A29" s="3" t="s">
        <v>187</v>
      </c>
      <c r="B29" s="6">
        <v>46279.0</v>
      </c>
      <c r="C29" s="3" t="s">
        <v>106</v>
      </c>
      <c r="D29" s="7" t="str">
        <f>VLOOKUP(C29, Inventory_Data!A$2:C$35, 2, FALSE)</f>
        <v>Stainless Steel Chef Cookware Set</v>
      </c>
      <c r="E29" s="7" t="str">
        <f>VLOOKUP(C29, Inventory_Data!A$2:C$35, 3, FALSE)</f>
        <v>Kitchenware</v>
      </c>
      <c r="F29" s="3" t="s">
        <v>44</v>
      </c>
      <c r="G29" s="5">
        <v>7.0</v>
      </c>
      <c r="H29" s="8">
        <f>VLOOKUP(C29, Inventory_Data!A$2:E$35, 5, FALSE)</f>
        <v>149.99</v>
      </c>
      <c r="I29" s="8">
        <f t="shared" si="1"/>
        <v>1049.93</v>
      </c>
      <c r="J29" s="8">
        <f>G29*VLOOKUP(C29, Inventory_Data!A$2:D$35, 4, FALSE)</f>
        <v>476</v>
      </c>
      <c r="K29" s="8">
        <f t="shared" si="2"/>
        <v>573.93</v>
      </c>
    </row>
    <row r="30">
      <c r="A30" s="3" t="s">
        <v>191</v>
      </c>
      <c r="B30" s="6">
        <v>46281.0</v>
      </c>
      <c r="C30" s="3" t="s">
        <v>112</v>
      </c>
      <c r="D30" s="7" t="str">
        <f>VLOOKUP(C30, Inventory_Data!A$2:C$35, 2, FALSE)</f>
        <v>RGB Ambient Desk Light Bar</v>
      </c>
      <c r="E30" s="7" t="str">
        <f>VLOOKUP(C30, Inventory_Data!A$2:C$35, 3, FALSE)</f>
        <v>Electronics</v>
      </c>
      <c r="F30" s="3" t="s">
        <v>73</v>
      </c>
      <c r="G30" s="5">
        <v>24.0</v>
      </c>
      <c r="H30" s="8">
        <f>VLOOKUP(C30, Inventory_Data!A$2:E$35, 5, FALSE)</f>
        <v>39</v>
      </c>
      <c r="I30" s="8">
        <f t="shared" si="1"/>
        <v>936</v>
      </c>
      <c r="J30" s="8">
        <f>G30*VLOOKUP(C30, Inventory_Data!A$2:D$35, 4, FALSE)</f>
        <v>408</v>
      </c>
      <c r="K30" s="8">
        <f t="shared" si="2"/>
        <v>528</v>
      </c>
    </row>
    <row r="31">
      <c r="A31" s="3" t="s">
        <v>192</v>
      </c>
      <c r="B31" s="6">
        <v>46283.0</v>
      </c>
      <c r="C31" s="3" t="s">
        <v>90</v>
      </c>
      <c r="D31" s="7" t="str">
        <f>VLOOKUP(C31, Inventory_Data!A$2:C$35, 2, FALSE)</f>
        <v>Velvet Accent Living Chair</v>
      </c>
      <c r="E31" s="7" t="str">
        <f>VLOOKUP(C31, Inventory_Data!A$2:C$35, 3, FALSE)</f>
        <v>Furniture</v>
      </c>
      <c r="F31" s="3" t="s">
        <v>85</v>
      </c>
      <c r="G31" s="5">
        <v>5.0</v>
      </c>
      <c r="H31" s="8">
        <f>VLOOKUP(C31, Inventory_Data!A$2:E$35, 5, FALSE)</f>
        <v>169</v>
      </c>
      <c r="I31" s="8">
        <f t="shared" si="1"/>
        <v>845</v>
      </c>
      <c r="J31" s="8">
        <f>G31*VLOOKUP(C31, Inventory_Data!A$2:D$35, 4, FALSE)</f>
        <v>360</v>
      </c>
      <c r="K31" s="8">
        <f t="shared" si="2"/>
        <v>485</v>
      </c>
    </row>
    <row r="32">
      <c r="A32" s="3" t="s">
        <v>195</v>
      </c>
      <c r="B32" s="6">
        <v>46285.0</v>
      </c>
      <c r="C32" s="3" t="s">
        <v>98</v>
      </c>
      <c r="D32" s="7" t="str">
        <f>VLOOKUP(C32, Inventory_Data!A$2:C$35, 2, FALSE)</f>
        <v>Bamboo Memory Foam Pillow</v>
      </c>
      <c r="E32" s="7" t="str">
        <f>VLOOKUP(C32, Inventory_Data!A$2:C$35, 3, FALSE)</f>
        <v>Furniture</v>
      </c>
      <c r="F32" s="3" t="s">
        <v>119</v>
      </c>
      <c r="G32" s="5">
        <v>18.0</v>
      </c>
      <c r="H32" s="8">
        <f>VLOOKUP(C32, Inventory_Data!A$2:E$35, 5, FALSE)</f>
        <v>34.99</v>
      </c>
      <c r="I32" s="8">
        <f t="shared" si="1"/>
        <v>629.82</v>
      </c>
      <c r="J32" s="8">
        <f>G32*VLOOKUP(C32, Inventory_Data!A$2:D$35, 4, FALSE)</f>
        <v>288</v>
      </c>
      <c r="K32" s="8">
        <f t="shared" si="2"/>
        <v>341.82</v>
      </c>
    </row>
    <row r="33">
      <c r="A33" s="3" t="s">
        <v>198</v>
      </c>
      <c r="B33" s="6">
        <v>46287.0</v>
      </c>
      <c r="C33" s="3" t="s">
        <v>115</v>
      </c>
      <c r="D33" s="7" t="str">
        <f>VLOOKUP(C33, Inventory_Data!A$2:C$35, 2, FALSE)</f>
        <v>Air Fryer Heat Resistant Mat Set</v>
      </c>
      <c r="E33" s="7" t="str">
        <f>VLOOKUP(C33, Inventory_Data!A$2:C$35, 3, FALSE)</f>
        <v>Kitchenware</v>
      </c>
      <c r="F33" s="3" t="s">
        <v>44</v>
      </c>
      <c r="G33" s="5">
        <v>30.0</v>
      </c>
      <c r="H33" s="8">
        <f>VLOOKUP(C33, Inventory_Data!A$2:E$35, 5, FALSE)</f>
        <v>18.5</v>
      </c>
      <c r="I33" s="8">
        <f t="shared" si="1"/>
        <v>555</v>
      </c>
      <c r="J33" s="8">
        <f>G33*VLOOKUP(C33, Inventory_Data!A$2:D$35, 4, FALSE)</f>
        <v>216</v>
      </c>
      <c r="K33" s="8">
        <f t="shared" si="2"/>
        <v>339</v>
      </c>
    </row>
    <row r="34">
      <c r="A34" s="3" t="s">
        <v>201</v>
      </c>
      <c r="B34" s="6">
        <v>46288.0</v>
      </c>
      <c r="C34" s="3" t="s">
        <v>104</v>
      </c>
      <c r="D34" s="7" t="str">
        <f>VLOOKUP(C34, Inventory_Data!A$2:C$35, 2, FALSE)</f>
        <v>Thermal Compression Base Layer</v>
      </c>
      <c r="E34" s="7" t="str">
        <f>VLOOKUP(C34, Inventory_Data!A$2:C$35, 3, FALSE)</f>
        <v>Apparel</v>
      </c>
      <c r="F34" s="3" t="s">
        <v>119</v>
      </c>
      <c r="G34" s="5">
        <v>15.0</v>
      </c>
      <c r="H34" s="8">
        <f>VLOOKUP(C34, Inventory_Data!A$2:E$35, 5, FALSE)</f>
        <v>36</v>
      </c>
      <c r="I34" s="8">
        <f t="shared" si="1"/>
        <v>540</v>
      </c>
      <c r="J34" s="8">
        <f>G34*VLOOKUP(C34, Inventory_Data!A$2:D$35, 4, FALSE)</f>
        <v>232.5</v>
      </c>
      <c r="K34" s="8">
        <f t="shared" si="2"/>
        <v>307.5</v>
      </c>
    </row>
    <row r="35">
      <c r="A35" s="3" t="s">
        <v>202</v>
      </c>
      <c r="B35" s="6">
        <v>46290.0</v>
      </c>
      <c r="C35" s="3" t="s">
        <v>67</v>
      </c>
      <c r="D35" s="7" t="str">
        <f>VLOOKUP(C35, Inventory_Data!A$2:C$35, 2, FALSE)</f>
        <v>Merino Wool Winter Beanie</v>
      </c>
      <c r="E35" s="7" t="str">
        <f>VLOOKUP(C35, Inventory_Data!A$2:C$35, 3, FALSE)</f>
        <v>Apparel</v>
      </c>
      <c r="F35" s="3" t="s">
        <v>44</v>
      </c>
      <c r="G35" s="5">
        <v>36.0</v>
      </c>
      <c r="H35" s="8">
        <f>VLOOKUP(C35, Inventory_Data!A$2:E$35, 5, FALSE)</f>
        <v>18.5</v>
      </c>
      <c r="I35" s="8">
        <f t="shared" si="1"/>
        <v>666</v>
      </c>
      <c r="J35" s="8">
        <f>G35*VLOOKUP(C35, Inventory_Data!A$2:D$35, 4, FALSE)</f>
        <v>234</v>
      </c>
      <c r="K35" s="8">
        <f t="shared" si="2"/>
        <v>432</v>
      </c>
    </row>
    <row r="36">
      <c r="B36" s="25"/>
      <c r="G36" s="26"/>
      <c r="H36" s="8"/>
      <c r="I36" s="8"/>
      <c r="J36" s="8"/>
      <c r="K36" s="8"/>
    </row>
    <row r="37">
      <c r="B37" s="25"/>
      <c r="G37" s="26"/>
      <c r="H37" s="8"/>
      <c r="I37" s="8"/>
      <c r="J37" s="8"/>
      <c r="K37" s="8"/>
    </row>
    <row r="38">
      <c r="B38" s="25"/>
      <c r="G38" s="26"/>
      <c r="H38" s="8"/>
      <c r="I38" s="8"/>
      <c r="J38" s="8"/>
      <c r="K38" s="8"/>
    </row>
    <row r="39">
      <c r="B39" s="25"/>
      <c r="G39" s="26"/>
      <c r="H39" s="8"/>
      <c r="I39" s="8"/>
      <c r="J39" s="8"/>
      <c r="K39" s="8"/>
    </row>
    <row r="40">
      <c r="B40" s="25"/>
      <c r="G40" s="26"/>
      <c r="H40" s="8"/>
      <c r="I40" s="8"/>
      <c r="J40" s="8"/>
      <c r="K40" s="8"/>
    </row>
    <row r="41">
      <c r="B41" s="25"/>
      <c r="G41" s="26"/>
      <c r="H41" s="8"/>
      <c r="I41" s="8"/>
      <c r="J41" s="8"/>
      <c r="K41" s="8"/>
    </row>
    <row r="42">
      <c r="B42" s="25"/>
      <c r="G42" s="26"/>
      <c r="H42" s="8"/>
      <c r="I42" s="8"/>
      <c r="J42" s="8"/>
      <c r="K42" s="8"/>
    </row>
    <row r="43">
      <c r="B43" s="25"/>
      <c r="G43" s="26"/>
      <c r="H43" s="8"/>
      <c r="I43" s="8"/>
      <c r="J43" s="8"/>
      <c r="K43" s="8"/>
    </row>
    <row r="44">
      <c r="B44" s="25"/>
      <c r="G44" s="26"/>
      <c r="H44" s="8"/>
      <c r="I44" s="8"/>
      <c r="J44" s="8"/>
      <c r="K44" s="8"/>
    </row>
    <row r="45">
      <c r="B45" s="25"/>
      <c r="G45" s="26"/>
      <c r="H45" s="8"/>
      <c r="I45" s="8"/>
      <c r="J45" s="8"/>
      <c r="K45" s="8"/>
    </row>
    <row r="46">
      <c r="B46" s="25"/>
      <c r="G46" s="26"/>
      <c r="H46" s="8"/>
      <c r="I46" s="8"/>
      <c r="J46" s="8"/>
      <c r="K46" s="8"/>
    </row>
    <row r="47">
      <c r="B47" s="25"/>
      <c r="G47" s="26"/>
      <c r="H47" s="8"/>
      <c r="I47" s="8"/>
      <c r="J47" s="8"/>
      <c r="K47" s="8"/>
    </row>
    <row r="48">
      <c r="B48" s="25"/>
      <c r="G48" s="26"/>
      <c r="H48" s="8"/>
      <c r="I48" s="8"/>
      <c r="J48" s="8"/>
      <c r="K48" s="8"/>
    </row>
    <row r="49">
      <c r="B49" s="25"/>
      <c r="G49" s="26"/>
      <c r="H49" s="8"/>
      <c r="I49" s="8"/>
      <c r="J49" s="8"/>
      <c r="K49" s="8"/>
    </row>
    <row r="50">
      <c r="B50" s="25"/>
      <c r="G50" s="26"/>
      <c r="H50" s="8"/>
      <c r="I50" s="8"/>
      <c r="J50" s="8"/>
      <c r="K50" s="8"/>
    </row>
    <row r="51">
      <c r="B51" s="25"/>
      <c r="G51" s="26"/>
      <c r="H51" s="8"/>
      <c r="I51" s="8"/>
      <c r="J51" s="8"/>
      <c r="K51" s="8"/>
    </row>
    <row r="52">
      <c r="B52" s="25"/>
      <c r="G52" s="26"/>
      <c r="H52" s="8"/>
      <c r="I52" s="8"/>
      <c r="J52" s="8"/>
      <c r="K52" s="8"/>
    </row>
    <row r="53">
      <c r="B53" s="25"/>
      <c r="G53" s="26"/>
      <c r="H53" s="8"/>
      <c r="I53" s="8"/>
      <c r="J53" s="8"/>
      <c r="K53" s="8"/>
    </row>
    <row r="54">
      <c r="B54" s="25"/>
      <c r="G54" s="26"/>
      <c r="H54" s="8"/>
      <c r="I54" s="8"/>
      <c r="J54" s="8"/>
      <c r="K54" s="8"/>
    </row>
    <row r="55">
      <c r="B55" s="25"/>
      <c r="G55" s="26"/>
      <c r="H55" s="8"/>
      <c r="I55" s="8"/>
      <c r="J55" s="8"/>
      <c r="K55" s="8"/>
    </row>
    <row r="56">
      <c r="B56" s="25"/>
      <c r="G56" s="26"/>
      <c r="H56" s="8"/>
      <c r="I56" s="8"/>
      <c r="J56" s="8"/>
      <c r="K56" s="8"/>
    </row>
    <row r="57">
      <c r="B57" s="25"/>
      <c r="G57" s="26"/>
      <c r="H57" s="8"/>
      <c r="I57" s="8"/>
      <c r="J57" s="8"/>
      <c r="K57" s="8"/>
    </row>
    <row r="58">
      <c r="B58" s="25"/>
      <c r="G58" s="26"/>
      <c r="H58" s="8"/>
      <c r="I58" s="8"/>
      <c r="J58" s="8"/>
      <c r="K58" s="8"/>
    </row>
    <row r="59">
      <c r="B59" s="25"/>
      <c r="G59" s="26"/>
      <c r="H59" s="8"/>
      <c r="I59" s="8"/>
      <c r="J59" s="8"/>
      <c r="K59" s="8"/>
    </row>
    <row r="60">
      <c r="B60" s="25"/>
      <c r="G60" s="26"/>
      <c r="H60" s="8"/>
      <c r="I60" s="8"/>
      <c r="J60" s="8"/>
      <c r="K60" s="8"/>
    </row>
    <row r="61">
      <c r="B61" s="25"/>
      <c r="G61" s="26"/>
      <c r="H61" s="8"/>
      <c r="I61" s="8"/>
      <c r="J61" s="8"/>
      <c r="K61" s="8"/>
    </row>
    <row r="62">
      <c r="B62" s="25"/>
      <c r="G62" s="26"/>
      <c r="H62" s="8"/>
      <c r="I62" s="8"/>
      <c r="J62" s="8"/>
      <c r="K62" s="8"/>
    </row>
    <row r="63">
      <c r="B63" s="25"/>
      <c r="G63" s="26"/>
      <c r="H63" s="8"/>
      <c r="I63" s="8"/>
      <c r="J63" s="8"/>
      <c r="K63" s="8"/>
    </row>
    <row r="64">
      <c r="B64" s="25"/>
      <c r="G64" s="26"/>
      <c r="H64" s="8"/>
      <c r="I64" s="8"/>
      <c r="J64" s="8"/>
      <c r="K64" s="8"/>
    </row>
    <row r="65">
      <c r="B65" s="25"/>
      <c r="G65" s="26"/>
      <c r="H65" s="8"/>
      <c r="I65" s="8"/>
      <c r="J65" s="8"/>
      <c r="K65" s="8"/>
    </row>
    <row r="66">
      <c r="B66" s="25"/>
      <c r="G66" s="26"/>
      <c r="H66" s="8"/>
      <c r="I66" s="8"/>
      <c r="J66" s="8"/>
      <c r="K66" s="8"/>
    </row>
    <row r="67">
      <c r="B67" s="25"/>
      <c r="G67" s="26"/>
      <c r="H67" s="8"/>
      <c r="I67" s="8"/>
      <c r="J67" s="8"/>
      <c r="K67" s="8"/>
    </row>
    <row r="68">
      <c r="B68" s="25"/>
      <c r="G68" s="26"/>
      <c r="H68" s="8"/>
      <c r="I68" s="8"/>
      <c r="J68" s="8"/>
      <c r="K68" s="8"/>
    </row>
    <row r="69">
      <c r="B69" s="25"/>
      <c r="G69" s="26"/>
      <c r="H69" s="8"/>
      <c r="I69" s="8"/>
      <c r="J69" s="8"/>
      <c r="K69" s="8"/>
    </row>
    <row r="70">
      <c r="B70" s="25"/>
      <c r="G70" s="26"/>
      <c r="H70" s="8"/>
      <c r="I70" s="8"/>
      <c r="J70" s="8"/>
      <c r="K70" s="8"/>
    </row>
    <row r="71">
      <c r="B71" s="25"/>
      <c r="G71" s="26"/>
      <c r="H71" s="8"/>
      <c r="I71" s="8"/>
      <c r="J71" s="8"/>
      <c r="K71" s="8"/>
    </row>
    <row r="72">
      <c r="B72" s="25"/>
      <c r="G72" s="26"/>
      <c r="H72" s="8"/>
      <c r="I72" s="8"/>
      <c r="J72" s="8"/>
      <c r="K72" s="8"/>
    </row>
    <row r="73">
      <c r="B73" s="25"/>
      <c r="G73" s="26"/>
      <c r="H73" s="8"/>
      <c r="I73" s="8"/>
      <c r="J73" s="8"/>
      <c r="K73" s="8"/>
    </row>
    <row r="74">
      <c r="B74" s="25"/>
      <c r="G74" s="26"/>
      <c r="H74" s="8"/>
      <c r="I74" s="8"/>
      <c r="J74" s="8"/>
      <c r="K74" s="8"/>
    </row>
    <row r="75">
      <c r="B75" s="25"/>
      <c r="G75" s="26"/>
      <c r="H75" s="8"/>
      <c r="I75" s="8"/>
      <c r="J75" s="8"/>
      <c r="K75" s="8"/>
    </row>
    <row r="76">
      <c r="B76" s="25"/>
      <c r="G76" s="26"/>
      <c r="H76" s="8"/>
      <c r="I76" s="8"/>
      <c r="J76" s="8"/>
      <c r="K76" s="8"/>
    </row>
    <row r="77">
      <c r="B77" s="25"/>
      <c r="G77" s="26"/>
      <c r="H77" s="8"/>
      <c r="I77" s="8"/>
      <c r="J77" s="8"/>
      <c r="K77" s="8"/>
    </row>
    <row r="78">
      <c r="B78" s="25"/>
      <c r="G78" s="26"/>
      <c r="H78" s="8"/>
      <c r="I78" s="8"/>
      <c r="J78" s="8"/>
      <c r="K78" s="8"/>
    </row>
    <row r="79">
      <c r="B79" s="25"/>
      <c r="G79" s="26"/>
      <c r="H79" s="8"/>
      <c r="I79" s="8"/>
      <c r="J79" s="8"/>
      <c r="K79" s="8"/>
    </row>
    <row r="80">
      <c r="B80" s="25"/>
      <c r="G80" s="26"/>
      <c r="H80" s="8"/>
      <c r="I80" s="8"/>
      <c r="J80" s="8"/>
      <c r="K80" s="8"/>
    </row>
    <row r="81">
      <c r="B81" s="25"/>
      <c r="G81" s="26"/>
      <c r="H81" s="8"/>
      <c r="I81" s="8"/>
      <c r="J81" s="8"/>
      <c r="K81" s="8"/>
    </row>
    <row r="82">
      <c r="B82" s="25"/>
      <c r="G82" s="26"/>
      <c r="H82" s="8"/>
      <c r="I82" s="8"/>
      <c r="J82" s="8"/>
      <c r="K82" s="8"/>
    </row>
    <row r="83">
      <c r="B83" s="25"/>
      <c r="G83" s="26"/>
      <c r="H83" s="8"/>
      <c r="I83" s="8"/>
      <c r="J83" s="8"/>
      <c r="K83" s="8"/>
    </row>
    <row r="84">
      <c r="B84" s="25"/>
      <c r="G84" s="26"/>
      <c r="H84" s="8"/>
      <c r="I84" s="8"/>
      <c r="J84" s="8"/>
      <c r="K84" s="8"/>
    </row>
    <row r="85">
      <c r="B85" s="25"/>
      <c r="G85" s="26"/>
      <c r="H85" s="8"/>
      <c r="I85" s="8"/>
      <c r="J85" s="8"/>
      <c r="K85" s="8"/>
    </row>
    <row r="86">
      <c r="B86" s="25"/>
      <c r="G86" s="26"/>
      <c r="H86" s="8"/>
      <c r="I86" s="8"/>
      <c r="J86" s="8"/>
      <c r="K86" s="8"/>
    </row>
    <row r="87">
      <c r="B87" s="25"/>
      <c r="G87" s="26"/>
      <c r="H87" s="8"/>
      <c r="I87" s="8"/>
      <c r="J87" s="8"/>
      <c r="K87" s="8"/>
    </row>
    <row r="88">
      <c r="B88" s="25"/>
      <c r="G88" s="26"/>
      <c r="H88" s="8"/>
      <c r="I88" s="8"/>
      <c r="J88" s="8"/>
      <c r="K88" s="8"/>
    </row>
    <row r="89">
      <c r="B89" s="25"/>
      <c r="G89" s="26"/>
      <c r="H89" s="8"/>
      <c r="I89" s="8"/>
      <c r="J89" s="8"/>
      <c r="K89" s="8"/>
    </row>
    <row r="90">
      <c r="B90" s="25"/>
      <c r="G90" s="26"/>
      <c r="H90" s="8"/>
      <c r="I90" s="8"/>
      <c r="J90" s="8"/>
      <c r="K90" s="8"/>
    </row>
    <row r="91">
      <c r="B91" s="25"/>
      <c r="G91" s="26"/>
      <c r="H91" s="8"/>
      <c r="I91" s="8"/>
      <c r="J91" s="8"/>
      <c r="K91" s="8"/>
    </row>
    <row r="92">
      <c r="B92" s="25"/>
      <c r="G92" s="26"/>
      <c r="H92" s="8"/>
      <c r="I92" s="8"/>
      <c r="J92" s="8"/>
      <c r="K92" s="8"/>
    </row>
    <row r="93">
      <c r="B93" s="25"/>
      <c r="G93" s="26"/>
      <c r="H93" s="8"/>
      <c r="I93" s="8"/>
      <c r="J93" s="8"/>
      <c r="K93" s="8"/>
    </row>
    <row r="94">
      <c r="B94" s="25"/>
      <c r="G94" s="26"/>
      <c r="H94" s="8"/>
      <c r="I94" s="8"/>
      <c r="J94" s="8"/>
      <c r="K94" s="8"/>
    </row>
    <row r="95">
      <c r="B95" s="25"/>
      <c r="G95" s="26"/>
      <c r="H95" s="8"/>
      <c r="I95" s="8"/>
      <c r="J95" s="8"/>
      <c r="K95" s="8"/>
    </row>
    <row r="96">
      <c r="B96" s="25"/>
      <c r="G96" s="26"/>
      <c r="H96" s="8"/>
      <c r="I96" s="8"/>
      <c r="J96" s="8"/>
      <c r="K96" s="8"/>
    </row>
    <row r="97">
      <c r="B97" s="25"/>
      <c r="G97" s="26"/>
      <c r="H97" s="8"/>
      <c r="I97" s="8"/>
      <c r="J97" s="8"/>
      <c r="K97" s="8"/>
    </row>
    <row r="98">
      <c r="B98" s="25"/>
      <c r="G98" s="26"/>
      <c r="H98" s="8"/>
      <c r="I98" s="8"/>
      <c r="J98" s="8"/>
      <c r="K98" s="8"/>
    </row>
    <row r="99">
      <c r="B99" s="25"/>
      <c r="G99" s="26"/>
      <c r="H99" s="8"/>
      <c r="I99" s="8"/>
      <c r="J99" s="8"/>
      <c r="K99" s="8"/>
    </row>
    <row r="100">
      <c r="B100" s="25"/>
      <c r="G100" s="26"/>
      <c r="H100" s="8"/>
      <c r="I100" s="8"/>
      <c r="J100" s="8"/>
      <c r="K1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3.88"/>
    <col customWidth="1" min="3" max="3" width="15.13"/>
    <col customWidth="1" min="4" max="4" width="13.88"/>
    <col customWidth="1" min="5" max="5" width="16.38"/>
    <col customWidth="1" min="6" max="6" width="15.13"/>
    <col customWidth="1" min="7" max="7" width="12.63"/>
    <col customWidth="1" min="8" max="8" width="15.13"/>
  </cols>
  <sheetData>
    <row r="1">
      <c r="A1" s="1" t="s">
        <v>133</v>
      </c>
      <c r="B1" s="1" t="s">
        <v>134</v>
      </c>
      <c r="C1" s="1" t="s">
        <v>3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</row>
    <row r="2">
      <c r="A2" s="3" t="s">
        <v>141</v>
      </c>
      <c r="B2" s="3" t="s">
        <v>142</v>
      </c>
      <c r="C2" s="3" t="s">
        <v>21</v>
      </c>
      <c r="D2" s="3">
        <v>7.0</v>
      </c>
      <c r="E2" s="17">
        <v>0.965</v>
      </c>
      <c r="F2" s="18">
        <v>4.8</v>
      </c>
      <c r="G2" s="3">
        <v>3.0</v>
      </c>
      <c r="H2" s="4">
        <v>24500.0</v>
      </c>
    </row>
    <row r="3">
      <c r="A3" s="3" t="s">
        <v>143</v>
      </c>
      <c r="B3" s="3" t="s">
        <v>144</v>
      </c>
      <c r="C3" s="3" t="s">
        <v>41</v>
      </c>
      <c r="D3" s="3">
        <v>14.0</v>
      </c>
      <c r="E3" s="17">
        <v>0.92</v>
      </c>
      <c r="F3" s="18">
        <v>4.5</v>
      </c>
      <c r="G3" s="3">
        <v>2.0</v>
      </c>
      <c r="H3" s="4">
        <v>18750.0</v>
      </c>
    </row>
    <row r="4">
      <c r="A4" s="3" t="s">
        <v>145</v>
      </c>
      <c r="B4" s="3" t="s">
        <v>146</v>
      </c>
      <c r="C4" s="3" t="s">
        <v>47</v>
      </c>
      <c r="D4" s="3">
        <v>9.0</v>
      </c>
      <c r="E4" s="17">
        <v>0.98</v>
      </c>
      <c r="F4" s="18">
        <v>4.9</v>
      </c>
      <c r="G4" s="3">
        <v>1.0</v>
      </c>
      <c r="H4" s="4">
        <v>14200.0</v>
      </c>
    </row>
    <row r="5">
      <c r="A5" s="3" t="s">
        <v>147</v>
      </c>
      <c r="B5" s="3" t="s">
        <v>148</v>
      </c>
      <c r="C5" s="3" t="s">
        <v>52</v>
      </c>
      <c r="D5" s="3">
        <v>11.0</v>
      </c>
      <c r="E5" s="17">
        <v>0.94</v>
      </c>
      <c r="F5" s="18">
        <v>4.6</v>
      </c>
      <c r="G5" s="3">
        <v>2.0</v>
      </c>
      <c r="H5" s="4">
        <v>11800.0</v>
      </c>
    </row>
    <row r="6">
      <c r="A6" s="3" t="s">
        <v>149</v>
      </c>
      <c r="B6" s="3" t="s">
        <v>150</v>
      </c>
      <c r="C6" s="3" t="s">
        <v>21</v>
      </c>
      <c r="D6" s="3">
        <v>6.0</v>
      </c>
      <c r="E6" s="17">
        <v>0.95</v>
      </c>
      <c r="F6" s="18">
        <v>4.7</v>
      </c>
      <c r="G6" s="3">
        <v>4.0</v>
      </c>
      <c r="H6" s="4">
        <v>21900.0</v>
      </c>
    </row>
    <row r="7">
      <c r="A7" s="3" t="s">
        <v>152</v>
      </c>
      <c r="B7" s="3" t="s">
        <v>153</v>
      </c>
      <c r="C7" s="3" t="s">
        <v>41</v>
      </c>
      <c r="D7" s="3">
        <v>16.0</v>
      </c>
      <c r="E7" s="17">
        <v>0.885</v>
      </c>
      <c r="F7" s="18">
        <v>4.2</v>
      </c>
      <c r="G7" s="3">
        <v>2.0</v>
      </c>
      <c r="H7" s="4">
        <v>15400.0</v>
      </c>
    </row>
    <row r="8">
      <c r="A8" s="3" t="s">
        <v>154</v>
      </c>
      <c r="B8" s="3" t="s">
        <v>155</v>
      </c>
      <c r="C8" s="3" t="s">
        <v>47</v>
      </c>
      <c r="D8" s="3">
        <v>8.0</v>
      </c>
      <c r="E8" s="17">
        <v>0.975</v>
      </c>
      <c r="F8" s="18">
        <v>4.8</v>
      </c>
      <c r="G8" s="3">
        <v>1.0</v>
      </c>
      <c r="H8" s="4">
        <v>9600.0</v>
      </c>
    </row>
    <row r="9">
      <c r="A9" s="3" t="s">
        <v>156</v>
      </c>
      <c r="B9" s="3" t="s">
        <v>157</v>
      </c>
      <c r="C9" s="3" t="s">
        <v>52</v>
      </c>
      <c r="D9" s="3">
        <v>10.0</v>
      </c>
      <c r="E9" s="17">
        <v>0.935</v>
      </c>
      <c r="F9" s="18">
        <v>4.5</v>
      </c>
      <c r="G9" s="3">
        <v>2.0</v>
      </c>
      <c r="H9" s="4">
        <v>12650.0</v>
      </c>
    </row>
    <row r="10">
      <c r="A10" s="19" t="s">
        <v>158</v>
      </c>
      <c r="B10" s="19" t="s">
        <v>160</v>
      </c>
      <c r="C10" s="19" t="s">
        <v>160</v>
      </c>
      <c r="D10" s="20">
        <f>ROUND(AVERAGE(D2:D9), 1)</f>
        <v>10.1</v>
      </c>
      <c r="E10" s="21">
        <f>AVERAGE(E2:E9)</f>
        <v>0.94375</v>
      </c>
      <c r="F10" s="22">
        <f>ROUND(AVERAGE(F2:F9), 2)</f>
        <v>4.63</v>
      </c>
      <c r="G10" s="20">
        <f t="shared" ref="G10:H10" si="1">SUM(G2:G9)</f>
        <v>17</v>
      </c>
      <c r="H10" s="23">
        <f t="shared" si="1"/>
        <v>128800</v>
      </c>
    </row>
    <row r="11">
      <c r="E11" s="10"/>
      <c r="F11" s="24"/>
      <c r="H11" s="8"/>
    </row>
    <row r="12">
      <c r="E12" s="10"/>
      <c r="F12" s="24"/>
      <c r="H12" s="8"/>
    </row>
    <row r="13">
      <c r="E13" s="10"/>
      <c r="F13" s="24"/>
      <c r="H13" s="8"/>
    </row>
    <row r="14">
      <c r="E14" s="10"/>
      <c r="F14" s="24"/>
      <c r="H14" s="8"/>
    </row>
    <row r="15">
      <c r="E15" s="10"/>
      <c r="F15" s="24"/>
      <c r="H15" s="8"/>
    </row>
    <row r="16">
      <c r="E16" s="10"/>
      <c r="F16" s="24"/>
      <c r="H16" s="8"/>
    </row>
    <row r="17">
      <c r="E17" s="10"/>
      <c r="F17" s="24"/>
      <c r="H17" s="8"/>
    </row>
    <row r="18">
      <c r="E18" s="10"/>
      <c r="F18" s="24"/>
      <c r="H18" s="8"/>
    </row>
    <row r="19">
      <c r="E19" s="10"/>
      <c r="F19" s="24"/>
      <c r="H19" s="8"/>
    </row>
    <row r="20">
      <c r="E20" s="10"/>
      <c r="F20" s="24"/>
      <c r="H20" s="8"/>
    </row>
    <row r="21">
      <c r="E21" s="10"/>
      <c r="F21" s="24"/>
      <c r="H21" s="8"/>
    </row>
    <row r="22">
      <c r="E22" s="10"/>
      <c r="F22" s="24"/>
      <c r="H22" s="8"/>
    </row>
    <row r="23">
      <c r="E23" s="10"/>
      <c r="F23" s="24"/>
      <c r="H23" s="8"/>
    </row>
    <row r="24">
      <c r="E24" s="10"/>
      <c r="F24" s="24"/>
      <c r="H24" s="8"/>
    </row>
    <row r="25">
      <c r="E25" s="10"/>
      <c r="F25" s="24"/>
      <c r="H25" s="8"/>
    </row>
    <row r="26">
      <c r="E26" s="10"/>
      <c r="F26" s="24"/>
      <c r="H26" s="8"/>
    </row>
    <row r="27">
      <c r="E27" s="10"/>
      <c r="F27" s="24"/>
      <c r="H27" s="8"/>
    </row>
    <row r="28">
      <c r="E28" s="10"/>
      <c r="F28" s="24"/>
      <c r="H28" s="8"/>
    </row>
    <row r="29">
      <c r="E29" s="10"/>
      <c r="F29" s="24"/>
      <c r="H29" s="8"/>
    </row>
    <row r="30">
      <c r="E30" s="10"/>
      <c r="F30" s="24"/>
      <c r="H30" s="8"/>
    </row>
    <row r="31">
      <c r="E31" s="10"/>
      <c r="F31" s="24"/>
      <c r="H31" s="8"/>
    </row>
    <row r="32">
      <c r="E32" s="10"/>
      <c r="F32" s="24"/>
      <c r="H32" s="8"/>
    </row>
    <row r="33">
      <c r="E33" s="10"/>
      <c r="F33" s="24"/>
      <c r="H33" s="8"/>
    </row>
    <row r="34">
      <c r="E34" s="10"/>
      <c r="F34" s="24"/>
      <c r="H34" s="8"/>
    </row>
    <row r="35">
      <c r="E35" s="10"/>
      <c r="F35" s="24"/>
      <c r="H35" s="8"/>
    </row>
    <row r="36">
      <c r="E36" s="10"/>
      <c r="F36" s="24"/>
      <c r="H36" s="8"/>
    </row>
    <row r="37">
      <c r="E37" s="10"/>
      <c r="F37" s="24"/>
      <c r="H37" s="8"/>
    </row>
    <row r="38">
      <c r="E38" s="10"/>
      <c r="F38" s="24"/>
      <c r="H38" s="8"/>
    </row>
    <row r="39">
      <c r="E39" s="10"/>
      <c r="F39" s="24"/>
      <c r="H39" s="8"/>
    </row>
    <row r="40">
      <c r="E40" s="10"/>
      <c r="F40" s="24"/>
      <c r="H40" s="8"/>
    </row>
    <row r="41">
      <c r="E41" s="10"/>
      <c r="F41" s="24"/>
      <c r="H41" s="8"/>
    </row>
    <row r="42">
      <c r="E42" s="10"/>
      <c r="F42" s="24"/>
      <c r="H42" s="8"/>
    </row>
    <row r="43">
      <c r="E43" s="10"/>
      <c r="F43" s="24"/>
      <c r="H43" s="8"/>
    </row>
    <row r="44">
      <c r="E44" s="10"/>
      <c r="F44" s="24"/>
      <c r="H44" s="8"/>
    </row>
    <row r="45">
      <c r="E45" s="10"/>
      <c r="F45" s="24"/>
      <c r="H45" s="8"/>
    </row>
    <row r="46">
      <c r="E46" s="10"/>
      <c r="F46" s="24"/>
      <c r="H46" s="8"/>
    </row>
    <row r="47">
      <c r="E47" s="10"/>
      <c r="F47" s="24"/>
      <c r="H47" s="8"/>
    </row>
    <row r="48">
      <c r="E48" s="10"/>
      <c r="F48" s="24"/>
      <c r="H48" s="8"/>
    </row>
    <row r="49">
      <c r="E49" s="10"/>
      <c r="F49" s="24"/>
      <c r="H49" s="8"/>
    </row>
    <row r="50">
      <c r="E50" s="10"/>
      <c r="F50" s="24"/>
      <c r="H50" s="8"/>
    </row>
    <row r="51">
      <c r="E51" s="10"/>
      <c r="F51" s="24"/>
      <c r="H51" s="8"/>
    </row>
    <row r="52">
      <c r="E52" s="10"/>
      <c r="F52" s="24"/>
      <c r="H52" s="8"/>
    </row>
    <row r="53">
      <c r="E53" s="10"/>
      <c r="F53" s="24"/>
      <c r="H53" s="8"/>
    </row>
    <row r="54">
      <c r="E54" s="10"/>
      <c r="F54" s="24"/>
      <c r="H54" s="8"/>
    </row>
    <row r="55">
      <c r="E55" s="10"/>
      <c r="F55" s="24"/>
      <c r="H55" s="8"/>
    </row>
    <row r="56">
      <c r="E56" s="10"/>
      <c r="F56" s="24"/>
      <c r="H56" s="8"/>
    </row>
    <row r="57">
      <c r="E57" s="10"/>
      <c r="F57" s="24"/>
      <c r="H57" s="8"/>
    </row>
    <row r="58">
      <c r="E58" s="10"/>
      <c r="F58" s="24"/>
      <c r="H58" s="8"/>
    </row>
    <row r="59">
      <c r="E59" s="10"/>
      <c r="F59" s="24"/>
      <c r="H59" s="8"/>
    </row>
    <row r="60">
      <c r="E60" s="10"/>
      <c r="F60" s="24"/>
      <c r="H60" s="8"/>
    </row>
    <row r="61">
      <c r="E61" s="10"/>
      <c r="F61" s="24"/>
      <c r="H61" s="8"/>
    </row>
    <row r="62">
      <c r="E62" s="10"/>
      <c r="F62" s="24"/>
      <c r="H62" s="8"/>
    </row>
    <row r="63">
      <c r="E63" s="10"/>
      <c r="F63" s="24"/>
      <c r="H63" s="8"/>
    </row>
    <row r="64">
      <c r="E64" s="10"/>
      <c r="F64" s="24"/>
      <c r="H64" s="8"/>
    </row>
    <row r="65">
      <c r="E65" s="10"/>
      <c r="F65" s="24"/>
      <c r="H65" s="8"/>
    </row>
    <row r="66">
      <c r="E66" s="10"/>
      <c r="F66" s="24"/>
      <c r="H66" s="8"/>
    </row>
    <row r="67">
      <c r="E67" s="10"/>
      <c r="F67" s="24"/>
      <c r="H67" s="8"/>
    </row>
    <row r="68">
      <c r="E68" s="10"/>
      <c r="F68" s="24"/>
      <c r="H68" s="8"/>
    </row>
    <row r="69">
      <c r="E69" s="10"/>
      <c r="F69" s="24"/>
      <c r="H69" s="8"/>
    </row>
    <row r="70">
      <c r="E70" s="10"/>
      <c r="F70" s="24"/>
      <c r="H70" s="8"/>
    </row>
    <row r="71">
      <c r="E71" s="10"/>
      <c r="F71" s="24"/>
      <c r="H71" s="8"/>
    </row>
    <row r="72">
      <c r="E72" s="10"/>
      <c r="F72" s="24"/>
      <c r="H72" s="8"/>
    </row>
    <row r="73">
      <c r="E73" s="10"/>
      <c r="F73" s="24"/>
      <c r="H73" s="8"/>
    </row>
    <row r="74">
      <c r="E74" s="10"/>
      <c r="F74" s="24"/>
      <c r="H74" s="8"/>
    </row>
    <row r="75">
      <c r="E75" s="10"/>
      <c r="F75" s="24"/>
      <c r="H75" s="8"/>
    </row>
    <row r="76">
      <c r="E76" s="10"/>
      <c r="F76" s="24"/>
      <c r="H76" s="8"/>
    </row>
    <row r="77">
      <c r="E77" s="10"/>
      <c r="F77" s="24"/>
      <c r="H77" s="8"/>
    </row>
    <row r="78">
      <c r="E78" s="10"/>
      <c r="F78" s="24"/>
      <c r="H78" s="8"/>
    </row>
    <row r="79">
      <c r="E79" s="10"/>
      <c r="F79" s="24"/>
      <c r="H79" s="8"/>
    </row>
    <row r="80">
      <c r="E80" s="10"/>
      <c r="F80" s="24"/>
      <c r="H80" s="8"/>
    </row>
    <row r="81">
      <c r="E81" s="10"/>
      <c r="F81" s="24"/>
      <c r="H81" s="8"/>
    </row>
    <row r="82">
      <c r="E82" s="10"/>
      <c r="F82" s="24"/>
      <c r="H82" s="8"/>
    </row>
    <row r="83">
      <c r="E83" s="10"/>
      <c r="F83" s="24"/>
      <c r="H83" s="8"/>
    </row>
    <row r="84">
      <c r="E84" s="10"/>
      <c r="F84" s="24"/>
      <c r="H84" s="8"/>
    </row>
    <row r="85">
      <c r="E85" s="10"/>
      <c r="F85" s="24"/>
      <c r="H85" s="8"/>
    </row>
    <row r="86">
      <c r="E86" s="10"/>
      <c r="F86" s="24"/>
      <c r="H86" s="8"/>
    </row>
    <row r="87">
      <c r="E87" s="10"/>
      <c r="F87" s="24"/>
      <c r="H87" s="8"/>
    </row>
    <row r="88">
      <c r="E88" s="10"/>
      <c r="F88" s="24"/>
      <c r="H88" s="8"/>
    </row>
    <row r="89">
      <c r="E89" s="10"/>
      <c r="F89" s="24"/>
      <c r="H89" s="8"/>
    </row>
    <row r="90">
      <c r="E90" s="10"/>
      <c r="F90" s="24"/>
      <c r="H90" s="8"/>
    </row>
    <row r="91">
      <c r="E91" s="10"/>
      <c r="F91" s="24"/>
      <c r="H91" s="8"/>
    </row>
    <row r="92">
      <c r="E92" s="10"/>
      <c r="F92" s="24"/>
      <c r="H92" s="8"/>
    </row>
    <row r="93">
      <c r="E93" s="10"/>
      <c r="F93" s="24"/>
      <c r="H93" s="8"/>
    </row>
    <row r="94">
      <c r="E94" s="10"/>
      <c r="F94" s="24"/>
      <c r="H94" s="8"/>
    </row>
    <row r="95">
      <c r="E95" s="10"/>
      <c r="F95" s="24"/>
      <c r="H95" s="8"/>
    </row>
    <row r="96">
      <c r="E96" s="10"/>
      <c r="F96" s="24"/>
      <c r="H96" s="8"/>
    </row>
    <row r="97">
      <c r="E97" s="10"/>
      <c r="F97" s="24"/>
      <c r="H97" s="8"/>
    </row>
    <row r="98">
      <c r="E98" s="10"/>
      <c r="F98" s="24"/>
      <c r="H98" s="8"/>
    </row>
    <row r="99">
      <c r="E99" s="10"/>
      <c r="F99" s="24"/>
      <c r="H99" s="8"/>
    </row>
    <row r="100">
      <c r="E100" s="10"/>
      <c r="F100" s="24"/>
      <c r="H100" s="8"/>
    </row>
  </sheetData>
  <drawing r:id="rId1"/>
</worksheet>
</file>